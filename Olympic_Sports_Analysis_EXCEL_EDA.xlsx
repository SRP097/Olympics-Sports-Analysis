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4.xml" ContentType="application/vnd.openxmlformats-officedocument.drawing+xml"/>
  <Override PartName="/xl/tables/table10.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5.xml" ContentType="application/vnd.openxmlformats-officedocument.drawing+xml"/>
  <Override PartName="/xl/tables/table18.xml" ContentType="application/vnd.openxmlformats-officedocument.spreadsheetml.tab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ocuments\AccioJob\CAPSTONE PROJECT\sports_analysis-main\"/>
    </mc:Choice>
  </mc:AlternateContent>
  <xr:revisionPtr revIDLastSave="0" documentId="13_ncr:1_{71D3A4F4-9EFA-4E37-BE93-61559DE7531A}" xr6:coauthVersionLast="47" xr6:coauthVersionMax="47" xr10:uidLastSave="{00000000-0000-0000-0000-000000000000}"/>
  <bookViews>
    <workbookView xWindow="-110" yWindow="-110" windowWidth="19420" windowHeight="11500" tabRatio="861" firstSheet="5" activeTab="17" xr2:uid="{DD8FE472-C394-4092-8861-24E910A5F4FF}"/>
  </bookViews>
  <sheets>
    <sheet name="EDA_1" sheetId="1" r:id="rId1"/>
    <sheet name="EDA_2" sheetId="2" r:id="rId2"/>
    <sheet name="EDA_3" sheetId="3" r:id="rId3"/>
    <sheet name="EDA_4" sheetId="4" r:id="rId4"/>
    <sheet name="EDA_5" sheetId="5" r:id="rId5"/>
    <sheet name="EDA_6" sheetId="6" r:id="rId6"/>
    <sheet name="EDA_7" sheetId="7" r:id="rId7"/>
    <sheet name="EDA_8" sheetId="8" r:id="rId8"/>
    <sheet name="EDA_9" sheetId="9" r:id="rId9"/>
    <sheet name="EDA_10" sheetId="10" r:id="rId10"/>
    <sheet name="EDA_11" sheetId="11" r:id="rId11"/>
    <sheet name="EDA_12" sheetId="12" r:id="rId12"/>
    <sheet name="EDA_13" sheetId="13" r:id="rId13"/>
    <sheet name="EDA_14" sheetId="14" r:id="rId14"/>
    <sheet name="EDA_15" sheetId="15" r:id="rId15"/>
    <sheet name="EDA_16" sheetId="16" r:id="rId16"/>
    <sheet name="EDA_17" sheetId="17" r:id="rId17"/>
    <sheet name="EDA_18" sheetId="18" r:id="rId18"/>
  </sheets>
  <definedNames>
    <definedName name="_xlchart.v1.3" hidden="1">EDA_18!$N$3:$N$230</definedName>
    <definedName name="_xlchart.v1.4" hidden="1">EDA_18!$N$3:$N$230</definedName>
    <definedName name="_xlchart.v2.0" hidden="1">EDA_3!$J$3:$J$12</definedName>
    <definedName name="_xlchart.v2.1" hidden="1">EDA_3!$K$2</definedName>
    <definedName name="_xlchart.v2.2" hidden="1">EDA_3!$K$3:$K$12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5" i="18" l="1"/>
  <c r="B121" i="18"/>
  <c r="B122" i="18"/>
  <c r="B123" i="18"/>
  <c r="B124" i="18"/>
  <c r="B117" i="18"/>
  <c r="B118" i="18"/>
  <c r="B119" i="18"/>
  <c r="B120" i="18"/>
  <c r="B114" i="18"/>
  <c r="B115" i="18"/>
  <c r="B116" i="18"/>
  <c r="B110" i="18"/>
  <c r="B111" i="18"/>
  <c r="B112" i="18"/>
  <c r="B113" i="18"/>
  <c r="B105" i="18"/>
  <c r="B106" i="18"/>
  <c r="B107" i="18"/>
  <c r="B108" i="18"/>
  <c r="B109" i="18"/>
  <c r="B99" i="18"/>
  <c r="B100" i="18"/>
  <c r="B101" i="18"/>
  <c r="B102" i="18"/>
  <c r="B103" i="18"/>
  <c r="B104" i="18"/>
  <c r="B91" i="18"/>
  <c r="B92" i="18"/>
  <c r="B93" i="18"/>
  <c r="B94" i="18"/>
  <c r="B95" i="18"/>
  <c r="B96" i="18"/>
  <c r="B97" i="18"/>
  <c r="B98" i="18"/>
  <c r="B90" i="18"/>
</calcChain>
</file>

<file path=xl/sharedStrings.xml><?xml version="1.0" encoding="utf-8"?>
<sst xmlns="http://schemas.openxmlformats.org/spreadsheetml/2006/main" count="2145" uniqueCount="1195">
  <si>
    <t>1. Are there any trends or patterns in the frequency of hosting Olympic Games?</t>
  </si>
  <si>
    <t>London</t>
  </si>
  <si>
    <t>Athina</t>
  </si>
  <si>
    <t>Lake Placid</t>
  </si>
  <si>
    <t>Los Angeles</t>
  </si>
  <si>
    <t>Paris</t>
  </si>
  <si>
    <t>Innsbruck</t>
  </si>
  <si>
    <t>Stockholm</t>
  </si>
  <si>
    <t>Sankt Moritz</t>
  </si>
  <si>
    <t>Calgary</t>
  </si>
  <si>
    <t>Barcelona</t>
  </si>
  <si>
    <t>Lillehammer</t>
  </si>
  <si>
    <t>Salt Lake City</t>
  </si>
  <si>
    <t>Helsinki</t>
  </si>
  <si>
    <t>Albertville</t>
  </si>
  <si>
    <t>Sydney</t>
  </si>
  <si>
    <t>Atlanta</t>
  </si>
  <si>
    <t>Sochi</t>
  </si>
  <si>
    <t>Nagano</t>
  </si>
  <si>
    <t>Beijing</t>
  </si>
  <si>
    <t>Rio de Janeiro</t>
  </si>
  <si>
    <t>Squaw Valley</t>
  </si>
  <si>
    <t>Torino</t>
  </si>
  <si>
    <t>Sarajevo</t>
  </si>
  <si>
    <t>Mexico City</t>
  </si>
  <si>
    <t>Munich</t>
  </si>
  <si>
    <t>Seoul</t>
  </si>
  <si>
    <t>Berlin</t>
  </si>
  <si>
    <t>Oslo</t>
  </si>
  <si>
    <t>Cortina d'Ampezzo</t>
  </si>
  <si>
    <t>Melbourne</t>
  </si>
  <si>
    <t>Roma</t>
  </si>
  <si>
    <t>Amsterdam</t>
  </si>
  <si>
    <t>Montreal</t>
  </si>
  <si>
    <t>Moskva</t>
  </si>
  <si>
    <t>Tokyo</t>
  </si>
  <si>
    <t>Vancouver</t>
  </si>
  <si>
    <t>Grenoble</t>
  </si>
  <si>
    <t>Sapporo</t>
  </si>
  <si>
    <t>Chamonix</t>
  </si>
  <si>
    <t>St. Louis</t>
  </si>
  <si>
    <t>Antwerpen</t>
  </si>
  <si>
    <t>Garmisch-Partenkirchen</t>
  </si>
  <si>
    <t>city_name</t>
  </si>
  <si>
    <t xml:space="preserve"> number_of_time_hosted</t>
  </si>
  <si>
    <t>select c.city_name,count(*) number_of_time_hosted
from games g
join games_city gc
on g.id=gc.games_id
join city c 
on gc.city_id=c.id 
group by c.city_name 
order by number_of_time_hosted desc;</t>
  </si>
  <si>
    <t>Column1</t>
  </si>
  <si>
    <t>1. How has the duration of Olympic Games changed over time?</t>
  </si>
  <si>
    <t>games_year</t>
  </si>
  <si>
    <t xml:space="preserve"> olympic_duration</t>
  </si>
  <si>
    <t>year_range</t>
  </si>
  <si>
    <t>olympic_duration</t>
  </si>
  <si>
    <t>1896-1920</t>
  </si>
  <si>
    <t>1924-1992</t>
  </si>
  <si>
    <t>1994-2016</t>
  </si>
  <si>
    <t>select games_year, count(*) olympic_duration
from games
group by games_year
order by games_year;</t>
  </si>
  <si>
    <t>Are there any notable events or occurrences associated with specific Olympic Games?</t>
  </si>
  <si>
    <t>select e.event_name,count(ce.competitor_id) no_of_participant
from competitor_event ce
join event e 
on ce.event_id=e.id
join medal m 
on ce.medal_id=m.id
group by e.event_name
order by no_of_participant desc;</t>
  </si>
  <si>
    <t>Football Men's Football</t>
  </si>
  <si>
    <t>Ice Hockey Men's Ice Hockey</t>
  </si>
  <si>
    <t>Hockey Men's Hockey</t>
  </si>
  <si>
    <t>Water Polo Men's Water Polo</t>
  </si>
  <si>
    <t>Basketball Men's Basketball</t>
  </si>
  <si>
    <t>event_name</t>
  </si>
  <si>
    <t xml:space="preserve"> no_of_participant</t>
  </si>
  <si>
    <t>Cycling Men's Road Race, Individual</t>
  </si>
  <si>
    <t>Handball Men's Handball</t>
  </si>
  <si>
    <t>Rowing Men's Coxed Eights</t>
  </si>
  <si>
    <t>Gymnastics Men's Individual All-Around</t>
  </si>
  <si>
    <t>Gymnastics Men's Team All-Around</t>
  </si>
  <si>
    <t>Rugby Sevens</t>
  </si>
  <si>
    <t>Triathlon</t>
  </si>
  <si>
    <t>Trampolining</t>
  </si>
  <si>
    <t>Taekwondo</t>
  </si>
  <si>
    <t>Snowboarding</t>
  </si>
  <si>
    <t>Softball</t>
  </si>
  <si>
    <t>Beach Volleyball</t>
  </si>
  <si>
    <t>Badminton</t>
  </si>
  <si>
    <t>Baseball</t>
  </si>
  <si>
    <t>Freestyle Skiing</t>
  </si>
  <si>
    <t>Short Track Speed Skating</t>
  </si>
  <si>
    <t>Table Tennis</t>
  </si>
  <si>
    <t>Synchronized Swimming</t>
  </si>
  <si>
    <t>Rhythmic Gymnastics</t>
  </si>
  <si>
    <t>Luge</t>
  </si>
  <si>
    <t>Volleyball</t>
  </si>
  <si>
    <t>Judo</t>
  </si>
  <si>
    <t>Biathlon</t>
  </si>
  <si>
    <t>Aeronautics</t>
  </si>
  <si>
    <t>Alpine Skiing</t>
  </si>
  <si>
    <t>Basketball</t>
  </si>
  <si>
    <t>Canoeing</t>
  </si>
  <si>
    <t>Handball</t>
  </si>
  <si>
    <t>Skeleton</t>
  </si>
  <si>
    <t>Alpinism</t>
  </si>
  <si>
    <t>Bobsleigh</t>
  </si>
  <si>
    <t>Speed Skating</t>
  </si>
  <si>
    <t>Ski Jumping</t>
  </si>
  <si>
    <t>Cross Country Skiing</t>
  </si>
  <si>
    <t>Curling</t>
  </si>
  <si>
    <t>Military Ski Patrol</t>
  </si>
  <si>
    <t>Nordic Combined</t>
  </si>
  <si>
    <t>Ice Hockey</t>
  </si>
  <si>
    <t>Art Competitions</t>
  </si>
  <si>
    <t>Modern Pentathlon</t>
  </si>
  <si>
    <t>Racquets</t>
  </si>
  <si>
    <t>Figure Skating</t>
  </si>
  <si>
    <t>Jeu De Paume</t>
  </si>
  <si>
    <t>Motorboating</t>
  </si>
  <si>
    <t>Hockey</t>
  </si>
  <si>
    <t>Diving</t>
  </si>
  <si>
    <t>Boxing</t>
  </si>
  <si>
    <t>Lacrosse</t>
  </si>
  <si>
    <t>Roque</t>
  </si>
  <si>
    <t>Archery</t>
  </si>
  <si>
    <t>Rowing</t>
  </si>
  <si>
    <t>Sailing</t>
  </si>
  <si>
    <t>Polo</t>
  </si>
  <si>
    <t>Croquet</t>
  </si>
  <si>
    <t>Golf</t>
  </si>
  <si>
    <t>Football</t>
  </si>
  <si>
    <t>Cricket</t>
  </si>
  <si>
    <t>Basque Pelota</t>
  </si>
  <si>
    <t>Equestrianism</t>
  </si>
  <si>
    <t>Rugby</t>
  </si>
  <si>
    <t>Tug-Of-War</t>
  </si>
  <si>
    <t>Water Polo</t>
  </si>
  <si>
    <t>Shooting</t>
  </si>
  <si>
    <t>Gymnastics</t>
  </si>
  <si>
    <t>Swimming</t>
  </si>
  <si>
    <t>Fencing</t>
  </si>
  <si>
    <t>Athletics</t>
  </si>
  <si>
    <t>Tennis</t>
  </si>
  <si>
    <t>Cycling</t>
  </si>
  <si>
    <t>Weightlifting</t>
  </si>
  <si>
    <t>Wrestling</t>
  </si>
  <si>
    <t>sport_name</t>
  </si>
  <si>
    <t xml:space="preserve"> year_of_introduce</t>
  </si>
  <si>
    <t xml:space="preserve"> participants_per_sport</t>
  </si>
  <si>
    <t>Are there any emerging sports that have been recently added to the Olympics</t>
  </si>
  <si>
    <t>select s.sport_name,min(g.games_year) year_of_introduce, count(ce.competitor_id) participants_per_sport
from competitor_event ce 
join games_competitor gc 
on ce.competitor_id=gc.id
join games g 
on gc.games_id=g.id
join event e 
on e.id=ce.event_id
join sport s 
on e.sport_id=s.id
group by s.sport_name
order by year_of_introduce desc;</t>
  </si>
  <si>
    <r>
      <t>Yes a new emerging sport has been introduced in recent olympic games named as</t>
    </r>
    <r>
      <rPr>
        <b/>
        <i/>
        <sz val="11"/>
        <color theme="1"/>
        <rFont val="Calibri"/>
        <family val="2"/>
        <scheme val="minor"/>
      </rPr>
      <t xml:space="preserve"> Rugby Sevens</t>
    </r>
  </si>
  <si>
    <r>
      <t xml:space="preserve">About </t>
    </r>
    <r>
      <rPr>
        <b/>
        <i/>
        <sz val="11"/>
        <color theme="1"/>
        <rFont val="Calibri"/>
        <family val="2"/>
        <scheme val="minor"/>
      </rPr>
      <t>300 participants</t>
    </r>
    <r>
      <rPr>
        <sz val="11"/>
        <color theme="1"/>
        <rFont val="Calibri"/>
        <family val="2"/>
        <scheme val="minor"/>
      </rPr>
      <t xml:space="preserve"> participated in this sports with multiple sporting events so we can consider it as </t>
    </r>
    <r>
      <rPr>
        <b/>
        <i/>
        <sz val="11"/>
        <color theme="1"/>
        <rFont val="Calibri"/>
        <family val="2"/>
        <scheme val="minor"/>
      </rPr>
      <t>emerging.</t>
    </r>
  </si>
  <si>
    <t>How has the popularity of certain sports changed over the years?</t>
  </si>
  <si>
    <t>SELECT 
    s.sport_name,
    COUNT(ce.competitor_id) AS total_competitors
FROM competitor_event ce
JOIN games_competitor gc
    ON ce.competitor_id = gc.id
JOIN games g
    ON gc.games_id = g.id
JOIN event e
    ON e.id = ce.event_id
JOIN sport s
    ON e.sport_id = s.id
WHERE g.games_year BETWEEN 1896 AND 1956
GROUP BY s.sport_name
ORDER BY sport_name;</t>
  </si>
  <si>
    <t>participants(1896-1956)</t>
  </si>
  <si>
    <t>SELECT 
    s.sport_name,
    COUNT(ce.competitor_id) AS total_competitors
FROM competitor_event ce
JOIN games_competitor gc
    ON ce.competitor_id = gc.id
JOIN games g
    ON gc.games_id = g.id
JOIN event e
    ON e.id = ce.event_id
JOIN sport s
    ON e.sport_id = s.id
WHERE g.games_year BETWEEN 1957 AND 2016
GROUP BY s.sport_name
ORDER BY sport_name;</t>
  </si>
  <si>
    <t>participants(1957-2016)</t>
  </si>
  <si>
    <t>n/a</t>
  </si>
  <si>
    <t>1957-2016</t>
  </si>
  <si>
    <t>1896-1956</t>
  </si>
  <si>
    <t>List of sports which have lost their popularity are listed below from the analysis</t>
  </si>
  <si>
    <t>Are there any sports that are specific to a particular region or culture?</t>
  </si>
  <si>
    <t>Newfoundland</t>
  </si>
  <si>
    <t>North Borneo</t>
  </si>
  <si>
    <t>Somalia</t>
  </si>
  <si>
    <t>South Sudan</t>
  </si>
  <si>
    <t>Turks and Caicos Islands</t>
  </si>
  <si>
    <t>region_name</t>
  </si>
  <si>
    <t xml:space="preserve"> sport_name</t>
  </si>
  <si>
    <t xml:space="preserve"> distinct_sport_count</t>
  </si>
  <si>
    <t>SELECT 
    nr.region_name,
    MIN(s.sport_name) AS sport_name,
    COUNT(DISTINCT s.sport_name) AS distinct_sport_count
FROM sport s
JOIN event e ON s.id = e.sport_id
JOIN competitor_event ce ON e.id = ce.event_id
JOIN games_competitor gc ON gc.id = ce.competitor_id
JOIN person_region pr ON pr.person_id = gc.person_id
JOIN noc_region nr ON nr.id = pr.region_id
GROUP BY nr.region_name
HAVING COUNT(DISTINCT s.sport_name) = 1;</t>
  </si>
  <si>
    <t>So, from the above analysis, we can conclude that there is a specific sport called Athletics which is associated with certain regions such as Newfoundland, North Borneo, Somalia, South Sudan, and Turks and Caicos Islands.</t>
  </si>
  <si>
    <t>Are there any sports that have a higher number of events for one gender compared to others?</t>
  </si>
  <si>
    <t>SELECT 
    s.sport_name,
    SUM(CASE WHEN p.gender = 'M' THEN 1 ELSE 0 END) AS male_event_count,
    SUM(CASE WHEN p.gender = 'F' THEN 1 ELSE 0 END) AS female_event_count
FROM person p
JOIN games_competitor gc ON p.id = gc.person_id
JOIN competitor_event ce ON gc.id = ce.competitor_id
JOIN event e ON e.id = ce.event_id
JOIN sport s ON s.id = e.sport_id
GROUP BY s.sport_name
HAVING male_event_count &lt;&gt; female_event_count</t>
  </si>
  <si>
    <t xml:space="preserve"> male_event_count</t>
  </si>
  <si>
    <t xml:space="preserve"> female_event_count</t>
  </si>
  <si>
    <t>So for Basketball,Judo,Football,Tug-Of-War,Speed Skating,Cross Country Skiing,Athletics,Ice Hockey,Swimming,Badminton,Sailing,Biathlon,Gymnastics,Art Competitions,Alpine Skiing,Handball,Weightlifting,Wrestling,Luge,Water Polo,Hockey,Rowing,Bobsleigh,Fencing,Equestrianism,Shooting,Boxing,Taekwondo,Cycling,Diving,Canoeing,Tennis,Modern Pentathlon,Figure Skating,Golf,Softball,Archery,Volleyball,Synchronized Swimming,Table Tennis,Nordic Combined,Baseball,Rhythmic Gymnastics,Freestyle Skiing,Rugby Sevens,Beach Volleyball,Triathlon,Ski Jumping,Curling,Snowboarding,Rugby,Short Track Speed Skating,Skeleton,Lacrosse,Polo,Cricket,Racquets,Military Ski Patrol,Croquet,Jeu De Paume,Roque,Alpinism,Motorboating,Basque Pelota,Aeronautics no of events are varrying.</t>
  </si>
  <si>
    <t>Are there any new events that have been introduced in recent editions of the Olympics?</t>
  </si>
  <si>
    <t>WITH event_years AS (
    SELECT 
        e.event_name,
        MIN(g.games_year) AS first_year
    FROM games_competitor gc
    JOIN competitor_event ce ON gc.id = ce.competitor_id
    JOIN games g ON g.id = gc.games_id
    JOIN event e ON e.id = ce.event_id
    GROUP BY e.event_name
)
SELECT event_name,first_year
FROM event_years
WHERE first_year = 2016;</t>
  </si>
  <si>
    <t>Rugby Sevens Women's Rugby Sevens</t>
  </si>
  <si>
    <t>Wrestling Women's Light-Heavyweight, Freestyle</t>
  </si>
  <si>
    <t>Wrestling Women's Featherweight, Freestyle</t>
  </si>
  <si>
    <t>Rugby Sevens Men's Rugby Sevens</t>
  </si>
  <si>
    <t>Sailing Women's Skiff</t>
  </si>
  <si>
    <t xml:space="preserve"> first_year</t>
  </si>
  <si>
    <t>So, there are some events which are newly introduced in the recent edition of olympic games like Rugby Sevens Women's Rugby Sevens,Wrestling Women's Light-Heavyweight, Freestyle,Wrestling Women's Featherweight, Freestyle,Rugby Sevens Men's Rugby Sevens,Sailing Women's Skiff .</t>
  </si>
  <si>
    <t>Are there any events that have been discontinued or removed from the Olympics?</t>
  </si>
  <si>
    <t>(WITH GAME_YEAR AS 
(SELECT 
        e.event_name,
        MIN(g.games_year) AS first_year
    FROM games_competitor gc
    JOIN competitor_event ce ON gc.id = ce.competitor_id
    JOIN games g ON g.id = gc.games_id
    JOIN event e ON e.id = ce.event_id
    GROUP BY e.event_name)
SELECT event_name ommited_event, first_year
from GAME_YEAR
where first_year&lt;&gt;2016
order by first_year desc;</t>
  </si>
  <si>
    <t>Figure Skating Mixed Team</t>
  </si>
  <si>
    <t>Biathlon Mixed 2 x 6 kilometres and 2 x 7.5 kilometres Relay</t>
  </si>
  <si>
    <t>Freestyle Skiing Men's Slopestyle</t>
  </si>
  <si>
    <t>Freestyle Skiing Women's Halfpipe</t>
  </si>
  <si>
    <t>Ski Jumping Women's Normal Hill, Individual</t>
  </si>
  <si>
    <t>Snowboarding Women's Slopestyle</t>
  </si>
  <si>
    <t>Snowboarding Men's Parallel Slalom</t>
  </si>
  <si>
    <t>Luge Mixed Team Relay</t>
  </si>
  <si>
    <t>Freestyle Skiing Women's Slopestyle</t>
  </si>
  <si>
    <t>Snowboarding Men's Slopestyle</t>
  </si>
  <si>
    <t>Freestyle Skiing Men's Halfpipe</t>
  </si>
  <si>
    <t>Snowboarding Women's Parallel Slalom</t>
  </si>
  <si>
    <t>Boxing Women's Flyweight</t>
  </si>
  <si>
    <t>Sailing Men's One Person Heavyweight Dinghy</t>
  </si>
  <si>
    <t>Canoeing Men's Kayak Doubles, 200 metres</t>
  </si>
  <si>
    <t>Canoeing Women's Kayak Singles, 200 metres</t>
  </si>
  <si>
    <t>Boxing Women's Middleweight</t>
  </si>
  <si>
    <t>Sailing Men's Skiff</t>
  </si>
  <si>
    <t>Cycling Men's Omnium</t>
  </si>
  <si>
    <t>Boxing Women's Lightweight</t>
  </si>
  <si>
    <t>Cycling Women's Team Pursuit</t>
  </si>
  <si>
    <t>Canoeing Men's Kayak Singles, 200 metres</t>
  </si>
  <si>
    <t>Canoeing Men's Canadian Singles, 200 metres</t>
  </si>
  <si>
    <t>Cycling Women's Omnium</t>
  </si>
  <si>
    <t>Cycling Women's Team Sprint</t>
  </si>
  <si>
    <t>Cycling Women's Keirin</t>
  </si>
  <si>
    <t>Freestyle Skiing Women's Ski Cross</t>
  </si>
  <si>
    <t>Nordic Combined Men's Normal Hill / 10 km, Individual</t>
  </si>
  <si>
    <t>Nordic Combined Men's Large Hill / 10 km, Individual</t>
  </si>
  <si>
    <t>Freestyle Skiing Men's Ski Cross</t>
  </si>
  <si>
    <t>Athletics Women's 3,000 metres Steeplechase</t>
  </si>
  <si>
    <t>Cycling Women's BMX</t>
  </si>
  <si>
    <t>Table Tennis Men's Team</t>
  </si>
  <si>
    <t>Swimming Women's 10 kilometres Open Water</t>
  </si>
  <si>
    <t>Swimming Men's 10 kilometres Open Water</t>
  </si>
  <si>
    <t>Cycling Men's BMX</t>
  </si>
  <si>
    <t>Table Tennis Women's Team</t>
  </si>
  <si>
    <t>Fencing Women's Sabre, Team</t>
  </si>
  <si>
    <t>Cross Country Skiing Women's 15 km Skiathlon</t>
  </si>
  <si>
    <t>Cross Country Skiing Men's 30 km Skiathlon</t>
  </si>
  <si>
    <t>Snowboarding Women's Boardercross</t>
  </si>
  <si>
    <t>Cross Country Skiing Women's Team Sprint</t>
  </si>
  <si>
    <t>Biathlon Men's 15 kilometres Mass Start</t>
  </si>
  <si>
    <t>Cross Country Skiing Men's Team Sprint</t>
  </si>
  <si>
    <t>Snowboarding Men's Boardercross</t>
  </si>
  <si>
    <t>Biathlon Women's 12.5 kilometres Mass Start</t>
  </si>
  <si>
    <t>Biathlon Women's 4 x 6 kilometres Relay</t>
  </si>
  <si>
    <t>Speed Skating Men's Team Pursuit (8 laps)</t>
  </si>
  <si>
    <t>Speed Skating Women's Team Pursuit (6 laps)</t>
  </si>
  <si>
    <t>Wrestling Women's Heavyweight, Freestyle</t>
  </si>
  <si>
    <t>Wrestling Women's Lightweight, Freestyle</t>
  </si>
  <si>
    <t>Fencing Women's Sabre, Individual</t>
  </si>
  <si>
    <t>Wrestling Women's Flyweight, Freestyle</t>
  </si>
  <si>
    <t>Sailing Women's Three Person Keelboat</t>
  </si>
  <si>
    <t>Sailing Men's Two Person Keelboat</t>
  </si>
  <si>
    <t>Wrestling Women's Middleweight, Freestyle</t>
  </si>
  <si>
    <t>Nordic Combined Men's Sprint</t>
  </si>
  <si>
    <t>Cross Country Skiing Women's 5/5 kilometres Pursuit</t>
  </si>
  <si>
    <t>Skeleton Women's Skeleton</t>
  </si>
  <si>
    <t>Cross Country Skiing Men's 10/10 kilometres Pursuit</t>
  </si>
  <si>
    <t>Short Track Speed Skating Men's 1,500 metres</t>
  </si>
  <si>
    <t>Snowboarding Men's Parallel Giant Slalom</t>
  </si>
  <si>
    <t>Cross Country Skiing Women's Sprint</t>
  </si>
  <si>
    <t>Biathlon Women's 10 kilometres Pursuit</t>
  </si>
  <si>
    <t>Biathlon Men's 12.5 kilometres Pursuit</t>
  </si>
  <si>
    <t>Cross Country Skiing Men's Sprint</t>
  </si>
  <si>
    <t>Bobsleigh Women's Two</t>
  </si>
  <si>
    <t>Snowboarding Women's Parallel Giant Slalom</t>
  </si>
  <si>
    <t>Short Track Speed Skating Women's 1,500 metres</t>
  </si>
  <si>
    <t>Water Polo Women's Water Polo</t>
  </si>
  <si>
    <t>Weightlifting Women's Heavyweight</t>
  </si>
  <si>
    <t>Taekwondo Men's Welterweight</t>
  </si>
  <si>
    <t>Diving Women's Synchronized Springboard</t>
  </si>
  <si>
    <t>Athletics Women's Pole Vault</t>
  </si>
  <si>
    <t>Taekwondo Men's Featherweight</t>
  </si>
  <si>
    <t>Triathlon Women's Olympic Distance</t>
  </si>
  <si>
    <t>Weightlifting Women's Middleweight</t>
  </si>
  <si>
    <t>Diving Men's Synchronized Platform</t>
  </si>
  <si>
    <t>Shooting Women's Trap</t>
  </si>
  <si>
    <t>Athletics Women's 20 kilometres Walk</t>
  </si>
  <si>
    <t>Taekwondo Men's Flyweight</t>
  </si>
  <si>
    <t>Taekwondo Women's Flyweight</t>
  </si>
  <si>
    <t>Weightlifting Women's Super-Heavyweight</t>
  </si>
  <si>
    <t>Shooting Women's Skeet</t>
  </si>
  <si>
    <t>Taekwondo Women's Welterweight</t>
  </si>
  <si>
    <t>Modern Pentathlon Women's Individual</t>
  </si>
  <si>
    <t>Triathlon Men's Olympic Distance</t>
  </si>
  <si>
    <t>Cycling Men's Keirin</t>
  </si>
  <si>
    <t>Diving Women's Synchronized Platform</t>
  </si>
  <si>
    <t>Taekwondo Women's Heavyweight</t>
  </si>
  <si>
    <t>Cycling Men's Team Sprint</t>
  </si>
  <si>
    <t>Weightlifting Women's Light-Heavyweight</t>
  </si>
  <si>
    <t>Weightlifting Women's Lightweight</t>
  </si>
  <si>
    <t>Athletics Women's Hammer Throw</t>
  </si>
  <si>
    <t>Weightlifting Women's Flyweight</t>
  </si>
  <si>
    <t>Trampolining Men's Individual</t>
  </si>
  <si>
    <t>Diving Men's Synchronized Springboard</t>
  </si>
  <si>
    <t>Taekwondo Women's Featherweight</t>
  </si>
  <si>
    <t>Weightlifting Women's Featherweight</t>
  </si>
  <si>
    <t>Taekwondo Men's Heavyweight</t>
  </si>
  <si>
    <t>Trampolining Women's Individual</t>
  </si>
  <si>
    <t>Cycling Men's Madison</t>
  </si>
  <si>
    <t>Sailing Mixed Skiff</t>
  </si>
  <si>
    <t>Cycling Women's 500 metres Time Trial</t>
  </si>
  <si>
    <t>Ice Hockey Women's Ice Hockey</t>
  </si>
  <si>
    <t>Snowboarding Men's Halfpipe</t>
  </si>
  <si>
    <t>Curling Women's Curling</t>
  </si>
  <si>
    <t>Snowboarding Women's Halfpipe</t>
  </si>
  <si>
    <t>Snowboarding Men's Giant Slalom</t>
  </si>
  <si>
    <t>Snowboarding Women's Giant Slalom</t>
  </si>
  <si>
    <t>Synchronized Swimming Women's Team</t>
  </si>
  <si>
    <t>Fencing Women's epee, Individual</t>
  </si>
  <si>
    <t>Athletics Women's 5,000 metres</t>
  </si>
  <si>
    <t>Football Women's Football</t>
  </si>
  <si>
    <t>Cycling Women's Mountainbike, Cross-Country</t>
  </si>
  <si>
    <t>Cycling Men's Mountainbike, Cross-Country</t>
  </si>
  <si>
    <t>Rhythmic Gymnastics Women's Group</t>
  </si>
  <si>
    <t>Badminton Mixed Doubles</t>
  </si>
  <si>
    <t>Cycling Men's Individual Time Trial</t>
  </si>
  <si>
    <t>Shooting Men's Skeet</t>
  </si>
  <si>
    <t>Shooting Men's Double Trap</t>
  </si>
  <si>
    <t>Rowing Men's Lightweight Double Sculls</t>
  </si>
  <si>
    <t>Athletics Women's Triple Jump</t>
  </si>
  <si>
    <t>Beach Volleyball Men's Beach Volleyball</t>
  </si>
  <si>
    <t>Swimming Women's 4 x 200 metres Freestyle Relay</t>
  </si>
  <si>
    <t>Cycling Women's Individual Time Trial</t>
  </si>
  <si>
    <t>Beach Volleyball Women's Beach Volleyball</t>
  </si>
  <si>
    <t>Rowing Women's Lightweight Double Sculls</t>
  </si>
  <si>
    <t>Rowing Men's Lightweight Coxless Fours</t>
  </si>
  <si>
    <t>Fencing Women's epee, Team</t>
  </si>
  <si>
    <t>Softball Women's Softball</t>
  </si>
  <si>
    <t>Cycling Women's Points Race</t>
  </si>
  <si>
    <t>Shooting Women's Double Trap</t>
  </si>
  <si>
    <t>Biathlon Women's 4 x 7.5 kilometres Relay</t>
  </si>
  <si>
    <t>Freestyle Skiing Men's Aerials</t>
  </si>
  <si>
    <t>Short Track Speed Skating Women's 1,000 metres</t>
  </si>
  <si>
    <t>Short Track Speed Skating Men's 500 metres</t>
  </si>
  <si>
    <t>Freestyle Skiing Women's Aerials</t>
  </si>
  <si>
    <t>Badminton Women's Singles</t>
  </si>
  <si>
    <t>Baseball Men's Baseball</t>
  </si>
  <si>
    <t>Sailing Men's One Person Dinghy</t>
  </si>
  <si>
    <t>Judo Women's Heavyweight</t>
  </si>
  <si>
    <t>Badminton Women's Doubles</t>
  </si>
  <si>
    <t>Athletics Women's 10 kilometres Walk</t>
  </si>
  <si>
    <t>Sailing Women's Windsurfer</t>
  </si>
  <si>
    <t>Shooting Men's Running Target, 10 metres</t>
  </si>
  <si>
    <t>Judo Women's Lightweight</t>
  </si>
  <si>
    <t>Sailing Women's One Person Dinghy</t>
  </si>
  <si>
    <t>Judo Women's Half-Heavyweight</t>
  </si>
  <si>
    <t>Badminton Men's Doubles</t>
  </si>
  <si>
    <t>Badminton Men's Singles</t>
  </si>
  <si>
    <t>Judo Women's Half-Middleweight</t>
  </si>
  <si>
    <t>Rowing Women's Coxless Fours</t>
  </si>
  <si>
    <t>Cycling Women's Individual Pursuit, 3,000 metres</t>
  </si>
  <si>
    <t>Judo Women's Middleweight</t>
  </si>
  <si>
    <t>Judo Women's Half-Lightweight</t>
  </si>
  <si>
    <t>Judo Women's Extra-Lightweight</t>
  </si>
  <si>
    <t>Cross Country Skiing Men's 10 kilometres</t>
  </si>
  <si>
    <t>Cross Country Skiing Men's 10/15 kilometres Pursuit</t>
  </si>
  <si>
    <t>Freestyle Skiing Men's Moguls</t>
  </si>
  <si>
    <t>Biathlon Women's 7.5 kilometres Sprint</t>
  </si>
  <si>
    <t>Biathlon Women's 15 kilometres</t>
  </si>
  <si>
    <t>Biathlon Women's 3 x 7.5 kilometres Relay</t>
  </si>
  <si>
    <t>Short Track Speed Skating Men's 5,000 metres Relay</t>
  </si>
  <si>
    <t>Cross Country Skiing Women's 30 kilometres</t>
  </si>
  <si>
    <t>Cross Country Skiing Women's 5/10 kilometres Pursuit</t>
  </si>
  <si>
    <t>Cross Country Skiing Women's 15 kilometres</t>
  </si>
  <si>
    <t>Short Track Speed Skating Women's 3,000 metres Relay</t>
  </si>
  <si>
    <t>Freestyle Skiing Women's Moguls</t>
  </si>
  <si>
    <t>Short Track Speed Skating Men's 1,000 metres</t>
  </si>
  <si>
    <t>Short Track Speed Skating Women's 500 metres</t>
  </si>
  <si>
    <t>Sailing Men's Two Person Dinghy</t>
  </si>
  <si>
    <t>Shooting Men's Air Pistol, 10 metres</t>
  </si>
  <si>
    <t>Table Tennis Women's Singles</t>
  </si>
  <si>
    <t>Table Tennis Men's Singles</t>
  </si>
  <si>
    <t>Swimming Men's 50 metres Freestyle</t>
  </si>
  <si>
    <t>Table Tennis Women's Doubles</t>
  </si>
  <si>
    <t>Table Tennis Men's Doubles</t>
  </si>
  <si>
    <t>Rowing Women's Quadruple Sculls</t>
  </si>
  <si>
    <t>Archery Men's Team</t>
  </si>
  <si>
    <t>Sailing Women's Two Person Dinghy</t>
  </si>
  <si>
    <t>Archery Women's Team</t>
  </si>
  <si>
    <t>Athletics Women's 10,000 metres</t>
  </si>
  <si>
    <t>Cycling Women's Sprint</t>
  </si>
  <si>
    <t>Shooting Women's Air Pistol, 10 metres</t>
  </si>
  <si>
    <t>Swimming Women's 50 metres Freestyle</t>
  </si>
  <si>
    <t>Nordic Combined Men's Team</t>
  </si>
  <si>
    <t>Alpine Skiing Men's Super G</t>
  </si>
  <si>
    <t>Alpine Skiing Women's Super G</t>
  </si>
  <si>
    <t>Ski Jumping Men's Large Hill, Team</t>
  </si>
  <si>
    <t>Speed Skating Women's 5,000 metres</t>
  </si>
  <si>
    <t>Sailing Mixed Windsurfer</t>
  </si>
  <si>
    <t>Rhythmic Gymnastics Women's Individual</t>
  </si>
  <si>
    <t>Sailing Men's Windsurfer</t>
  </si>
  <si>
    <t>Synchronized Swimming Women's Solo</t>
  </si>
  <si>
    <t>Synchronized Swimming Women's Duet</t>
  </si>
  <si>
    <t>Athletics Women's Marathon</t>
  </si>
  <si>
    <t>Athletics Women's 400 metres Hurdles</t>
  </si>
  <si>
    <t>Canoeing Women's Kayak Fours, 500 metres</t>
  </si>
  <si>
    <t>Shooting Men's Air Rifle, 10 metres</t>
  </si>
  <si>
    <t>Boxing Men's Super-Heavyweight</t>
  </si>
  <si>
    <t>Athletics Women's Heptathlon</t>
  </si>
  <si>
    <t>Cycling Women's Road Race, Individual</t>
  </si>
  <si>
    <t>Shooting Women's Sporting Pistol, 25 metres</t>
  </si>
  <si>
    <t>Shooting Women's Air Rifle, 10 metres</t>
  </si>
  <si>
    <t>Shooting Women's Small-Bore Rifle, Three Positions, 50 metres</t>
  </si>
  <si>
    <t>Athletics Women's 3,000 metres</t>
  </si>
  <si>
    <t>Cross Country Skiing Women's 20 kilometres</t>
  </si>
  <si>
    <t>Shooting Men's Running Target, 50 metres</t>
  </si>
  <si>
    <t>Weightlifting Men's Heavyweight II</t>
  </si>
  <si>
    <t>Judo Men's Extra-Lightweight</t>
  </si>
  <si>
    <t>Judo Men's Half-Lightweight</t>
  </si>
  <si>
    <t>Hockey Women's Hockey</t>
  </si>
  <si>
    <t>Weightlifting Men's Heavyweight I</t>
  </si>
  <si>
    <t>Biathlon Men's 10 kilometres Sprint</t>
  </si>
  <si>
    <t>Canoeing Men's Canadian Doubles, 500 metres</t>
  </si>
  <si>
    <t>Canoeing Men's Kayak Doubles, 500 metres</t>
  </si>
  <si>
    <t>Handball Women's Handball</t>
  </si>
  <si>
    <t>Basketball Women's Basketball</t>
  </si>
  <si>
    <t>Rowing Women's Coxless Pairs</t>
  </si>
  <si>
    <t>Sailing Mixed Multihull</t>
  </si>
  <si>
    <t>Canoeing Men's Kayak Singles, 500 metres</t>
  </si>
  <si>
    <t>Rowing Men's Quadruple Sculls</t>
  </si>
  <si>
    <t>Rowing Women's Double Sculls</t>
  </si>
  <si>
    <t>Rowing Women's Coxed Eights</t>
  </si>
  <si>
    <t>Rowing Women's Single Sculls</t>
  </si>
  <si>
    <t>Canoeing Men's Canadian Singles, 500 metres</t>
  </si>
  <si>
    <t>Speed Skating Men's 1,000 metres</t>
  </si>
  <si>
    <t>Cross Country Skiing Women's 4 x 5 kilometres Relay</t>
  </si>
  <si>
    <t>Figure Skating Mixed Ice Dancing</t>
  </si>
  <si>
    <t>Sailing Mixed Two Person Dinghy</t>
  </si>
  <si>
    <t>Rowing Women's Coxed Fours</t>
  </si>
  <si>
    <t>Rowing Women's Coxed Quadruple Sculls</t>
  </si>
  <si>
    <t>Judo Men's Half-Middleweight</t>
  </si>
  <si>
    <t>Athletics Women's 100 metres Hurdles</t>
  </si>
  <si>
    <t>Canoeing Men's Kayak Singles, Slalom</t>
  </si>
  <si>
    <t>Weightlifting Men's Flyweight</t>
  </si>
  <si>
    <t>Canoeing Men's Canadian Doubles, Slalom</t>
  </si>
  <si>
    <t>Weightlifting Men's Super-Heavyweight</t>
  </si>
  <si>
    <t>Judo Men's Half-Heavyweight</t>
  </si>
  <si>
    <t>Canoeing Women's Kayak Singles, Slalom</t>
  </si>
  <si>
    <t>Wrestling Men's Super-Heavyweight, Greco-Roman</t>
  </si>
  <si>
    <t>Athletics Women's 1,500 metres</t>
  </si>
  <si>
    <t>Athletics Women's 4 x 400 metres Relay</t>
  </si>
  <si>
    <t>Archery Men's Individual</t>
  </si>
  <si>
    <t>Archery Women's Individual</t>
  </si>
  <si>
    <t>Canoeing Men's Canadian Singles, Slalom</t>
  </si>
  <si>
    <t>Wrestling Men's Super-Heavyweight, Freestyle</t>
  </si>
  <si>
    <t>Wrestling Men's Light-Flyweight, Greco-Roman</t>
  </si>
  <si>
    <t>Shooting Mixed Running Target, 50 metres</t>
  </si>
  <si>
    <t>Shooting Mixed Skeet</t>
  </si>
  <si>
    <t>Swimming Men's 200 metres Individual Medley</t>
  </si>
  <si>
    <t>Boxing Men's Light-Flyweight</t>
  </si>
  <si>
    <t>Swimming Men's 100 metres Butterfly</t>
  </si>
  <si>
    <t>Shooting Mixed Trap</t>
  </si>
  <si>
    <t>Swimming Men's 100 metres Breaststroke</t>
  </si>
  <si>
    <t>Swimming Women's 200 metres Backstroke</t>
  </si>
  <si>
    <t>Swimming Women's 200 metres Butterfly</t>
  </si>
  <si>
    <t>Swimming Women's 800 metres Freestyle</t>
  </si>
  <si>
    <t>Swimming Women's 200 metres Freestyle</t>
  </si>
  <si>
    <t>Swimming Women's 200 metres Individual Medley</t>
  </si>
  <si>
    <t>Swimming Women's 100 metres Breaststroke</t>
  </si>
  <si>
    <t>Biathlon Men's 4 x 7.5 kilometres Relay</t>
  </si>
  <si>
    <t>Shooting Mixed Free Pistol, 50 metres</t>
  </si>
  <si>
    <t>Shooting Mixed Free Rifle, Three Positions, 300 metres</t>
  </si>
  <si>
    <t>Shooting Mixed Rapid-Fire Pistol, 25 metres</t>
  </si>
  <si>
    <t>Shooting Mixed Small-Bore Rifle, Prone, 50 metres</t>
  </si>
  <si>
    <t>Shooting Mixed Small-Bore Rifle, Three Positions, 50 metres</t>
  </si>
  <si>
    <t>Canoeing Men's Kayak Fours, 1,000 metres</t>
  </si>
  <si>
    <t>Cycling Men's Individual Pursuit, 4,000 metres</t>
  </si>
  <si>
    <t>Judo Men's Lightweight</t>
  </si>
  <si>
    <t>Swimming Men's 4 x 100 metres Freestyle Relay</t>
  </si>
  <si>
    <t>Volleyball Men's Volleyball</t>
  </si>
  <si>
    <t>Equestrianism Mixed Three-Day Event, Individual</t>
  </si>
  <si>
    <t>Equestrianism Mixed Three-Day Event, Team</t>
  </si>
  <si>
    <t>Volleyball Women's Volleyball</t>
  </si>
  <si>
    <t>Judo Men's Middleweight</t>
  </si>
  <si>
    <t>Judo Men's Heavyweight</t>
  </si>
  <si>
    <t>Swimming Men's 400 metres Individual Medley</t>
  </si>
  <si>
    <t>Swimming Women's 400 metres Individual Medley</t>
  </si>
  <si>
    <t>Athletics Women's 400 metres</t>
  </si>
  <si>
    <t>Luge Women's Singles</t>
  </si>
  <si>
    <t>Cross Country Skiing Women's 5 kilometres</t>
  </si>
  <si>
    <t>Luge Mixed (Men)'s Doubles</t>
  </si>
  <si>
    <t>Ski Jumping Men's Large Hill, Individual</t>
  </si>
  <si>
    <t>Luge Men's Singles</t>
  </si>
  <si>
    <t>Judo Men's Open Class</t>
  </si>
  <si>
    <t>Athletics Women's Pentathlon</t>
  </si>
  <si>
    <t>Cycling Men's 100 kilometres Team Time Trial</t>
  </si>
  <si>
    <t>Swimming Women's 4 x 100 metres Medley Relay</t>
  </si>
  <si>
    <t>Swimming Men's 4 x 100 metres Medley Relay</t>
  </si>
  <si>
    <t>Canoeing Women's Kayak Doubles, 500 metres</t>
  </si>
  <si>
    <t>Fencing Women's Foil, Team</t>
  </si>
  <si>
    <t>Speed Skating Women's 500 metres</t>
  </si>
  <si>
    <t>Speed Skating Women's 1,000 metres</t>
  </si>
  <si>
    <t>Biathlon Men's 20 kilometres</t>
  </si>
  <si>
    <t>Speed Skating Women's 1,500 metres</t>
  </si>
  <si>
    <t>Speed Skating Women's 3,000 metres</t>
  </si>
  <si>
    <t>Canoeing Men's Kayak Relay 4 x 500 metres</t>
  </si>
  <si>
    <t>Sailing Mixed Two Person Heavyweight Dinghy</t>
  </si>
  <si>
    <t>Athletics Men's 20 kilometres Walk</t>
  </si>
  <si>
    <t>Swimming Women's 100 metres Butterfly</t>
  </si>
  <si>
    <t>Equestrianism Mixed Jumping, Team</t>
  </si>
  <si>
    <t>Swimming Men's 200 metres Butterfly</t>
  </si>
  <si>
    <t>Cross Country Skiing Men's 15 kilometres</t>
  </si>
  <si>
    <t>Cross Country Skiing Men's 30 kilometres</t>
  </si>
  <si>
    <t>Cross Country Skiing Women's 3 x 5 kilometres Relay</t>
  </si>
  <si>
    <t>Modern Pentathlon Men's Team</t>
  </si>
  <si>
    <t>Weightlifting Men's Middle-Heavyweight</t>
  </si>
  <si>
    <t>Shooting Men's Small-Bore Rifle, Three Positions, 50 metres</t>
  </si>
  <si>
    <t>Gymnastics Women's Individual All-Around</t>
  </si>
  <si>
    <t>Gymnastics Women's Floor Exercise</t>
  </si>
  <si>
    <t>Gymnastics Women's Horse Vault</t>
  </si>
  <si>
    <t>Gymnastics Women's Uneven Bars</t>
  </si>
  <si>
    <t>Gymnastics Women's Balance Beam</t>
  </si>
  <si>
    <t>Equestrianism Mixed Dressage, Individual</t>
  </si>
  <si>
    <t>Equestrianism Mixed Dressage, Team</t>
  </si>
  <si>
    <t>Boxing Men's Light-Middleweight</t>
  </si>
  <si>
    <t>Boxing Men's Light-Welterweight</t>
  </si>
  <si>
    <t>Cross Country Skiing Women's 10 kilometres</t>
  </si>
  <si>
    <t>Alpine Skiing Women's Giant Slalom</t>
  </si>
  <si>
    <t>Alpine Skiing Men's Giant Slalom</t>
  </si>
  <si>
    <t>Gymnastics Women's Team Portable Apparatus</t>
  </si>
  <si>
    <t>Sailing Mixed 5.5 metres</t>
  </si>
  <si>
    <t>Shooting Men's Running Target, Single And Double Shot</t>
  </si>
  <si>
    <t>Sailing Mixed Three Person Keelboat</t>
  </si>
  <si>
    <t>Athletics Women's Long Jump</t>
  </si>
  <si>
    <t>Weightlifting Men's Bantamweight</t>
  </si>
  <si>
    <t>Athletics Women's Shot Put</t>
  </si>
  <si>
    <t>Wrestling Men's Flyweight, Greco-Roman</t>
  </si>
  <si>
    <t>Canoeing Women's Kayak Singles, 500 metres</t>
  </si>
  <si>
    <t>Athletics Women's 200 metres</t>
  </si>
  <si>
    <t>Alpine Skiing Men's Slalom</t>
  </si>
  <si>
    <t>Alpine Skiing Women's Slalom</t>
  </si>
  <si>
    <t>Alpine Skiing Men's Downhill</t>
  </si>
  <si>
    <t>Alpine Skiing Women's Downhill</t>
  </si>
  <si>
    <t>Canoeing Men's Canadian Singles, 10,000 metres</t>
  </si>
  <si>
    <t>Art Competitions Mixed Music, Vocals</t>
  </si>
  <si>
    <t>Art Competitions Mixed Sculpturing, Medals And Plaques</t>
  </si>
  <si>
    <t>Canoeing Men's Canadian Doubles, 1,000 metres</t>
  </si>
  <si>
    <t>Canoeing Men's Kayak Singles, 1,000 metres</t>
  </si>
  <si>
    <t>Canoeing Men's Kayak Doubles, 1,000 metres</t>
  </si>
  <si>
    <t>Canoeing Men's Canadian Singles, 1,000 metres</t>
  </si>
  <si>
    <t>Alpine Skiing Men's Combined</t>
  </si>
  <si>
    <t>Cross Country Skiing Men's 4 x 10 kilometres Relay</t>
  </si>
  <si>
    <t>Alpine Skiing Women's Combined</t>
  </si>
  <si>
    <t>Canoeing Men's Kayak Doubles, 10,000 metres</t>
  </si>
  <si>
    <t>Canoeing Men's Kayak Singles, 10,000 metres</t>
  </si>
  <si>
    <t>Canoeing Men's Canadian Doubles, 10,000 metres</t>
  </si>
  <si>
    <t>Art Competitions Mixed Painting, Applied Arts</t>
  </si>
  <si>
    <t>Art Competitions Mixed Literature, Unknown Event</t>
  </si>
  <si>
    <t>Art Competitions Mixed Sculpturing, Reliefs</t>
  </si>
  <si>
    <t>Canoeing Men's Folding Kayak Doubles, 10 kilometres</t>
  </si>
  <si>
    <t>Art Competitions Mixed Sculpturing, Medals</t>
  </si>
  <si>
    <t>Art Competitions Mixed Music, Unknown Event</t>
  </si>
  <si>
    <t>Canoeing Men's Folding Kayak Singles, 10 kilometres</t>
  </si>
  <si>
    <t>Aeronautics Mixed Aeronautics</t>
  </si>
  <si>
    <t>Sailing Mixed Two Person Keelboat</t>
  </si>
  <si>
    <t>Gymnastics Men's Floor Exercise</t>
  </si>
  <si>
    <t>Athletics Women's Javelin Throw</t>
  </si>
  <si>
    <t>Wrestling Men's Welterweight, Greco-Roman</t>
  </si>
  <si>
    <t>Athletics Men's 50 kilometres Walk</t>
  </si>
  <si>
    <t>Bobsleigh Men's Two</t>
  </si>
  <si>
    <t>Bobsleigh Men's Four</t>
  </si>
  <si>
    <t>Art Competitions Mixed Painting, Unknown Event</t>
  </si>
  <si>
    <t>Art Competitions Mixed Architecture, Unknown Event</t>
  </si>
  <si>
    <t>Art Competitions Mixed Sculpturing, Unknown Event</t>
  </si>
  <si>
    <t>Art Competitions Mixed Unknown Event</t>
  </si>
  <si>
    <t>Athletics Women's 80 metres Hurdles</t>
  </si>
  <si>
    <t>Gymnastics Men's Tumbling</t>
  </si>
  <si>
    <t>Athletics Women's 800 metres</t>
  </si>
  <si>
    <t>Diving Women's Platform</t>
  </si>
  <si>
    <t>Athletics Women's 100 metres</t>
  </si>
  <si>
    <t>Athletics Women's 4 x 100 metres Relay</t>
  </si>
  <si>
    <t>Gymnastics Women's Team All-Around</t>
  </si>
  <si>
    <t>Cycling Men's 1,000 metres Time Trial</t>
  </si>
  <si>
    <t>Athletics Women's High Jump</t>
  </si>
  <si>
    <t>Athletics Women's Discus Throw</t>
  </si>
  <si>
    <t>Art Competitions Mixed Architecture, Designs For Town Planning</t>
  </si>
  <si>
    <t>Art Competitions Mixed Architecture, Architectural Designs</t>
  </si>
  <si>
    <t>Art Competitions Mixed Sculpturing, Statues</t>
  </si>
  <si>
    <t>Art Competitions Mixed Painting, Drawings And Water Colors</t>
  </si>
  <si>
    <t>Equestrianism Men's Dressage, Team</t>
  </si>
  <si>
    <t>Art Competitions Mixed Painting, Paintings</t>
  </si>
  <si>
    <t>Art Competitions Mixed Painting, Graphic Arts</t>
  </si>
  <si>
    <t>Art Competitions Mixed Sculpturing, Medals And Reliefs</t>
  </si>
  <si>
    <t>Skeleton Men's Skeleton</t>
  </si>
  <si>
    <t>Art Competitions Mixed Literature, Lyric Works</t>
  </si>
  <si>
    <t>Art Competitions Mixed Music, Compositions For Orchestra</t>
  </si>
  <si>
    <t>Art Competitions Mixed Literature, Dramatic Works</t>
  </si>
  <si>
    <t>Art Competitions Mixed Literature, Epic Works</t>
  </si>
  <si>
    <t>Art Competitions Mixed Music, Instrumental And Chamber</t>
  </si>
  <si>
    <t>Art Competitions Mixed Music, Compositions For Solo Or Chorus</t>
  </si>
  <si>
    <t>Shooting Men's Small-Bore Rifle, Prone, 50 metres</t>
  </si>
  <si>
    <t>Swimming Women's 100 metres Backstroke</t>
  </si>
  <si>
    <t>Wrestling Men's Bantamweight, Greco-Roman</t>
  </si>
  <si>
    <t>Swimming Women's 400 metres Freestyle</t>
  </si>
  <si>
    <t>Fencing Women's Foil, Individual</t>
  </si>
  <si>
    <t>Shooting Men's Rapid-Fire Pistol, 25 metres</t>
  </si>
  <si>
    <t>Swimming Women's 200 metres Breaststroke</t>
  </si>
  <si>
    <t>Nordic Combined Men's Individual</t>
  </si>
  <si>
    <t>Speed Skating Men's 500 metres</t>
  </si>
  <si>
    <t>Speed Skating Men's 1,500 metres</t>
  </si>
  <si>
    <t>Cross Country Skiing Men's 50 kilometres</t>
  </si>
  <si>
    <t>Speed Skating Men's 5,000 metres</t>
  </si>
  <si>
    <t>Speed Skating Men's 10,000 metres</t>
  </si>
  <si>
    <t>Ski Jumping Men's Normal Hill, Individual</t>
  </si>
  <si>
    <t>Sailing Mixed One Person Dinghy</t>
  </si>
  <si>
    <t>Alpinism Mixed Alpinism</t>
  </si>
  <si>
    <t>Curling Men's Curling</t>
  </si>
  <si>
    <t>Shooting Men's Free Rifle, Prone, 600 metres</t>
  </si>
  <si>
    <t>Shooting Men's Free Rifle, 400, 600 and 800 metres, Team</t>
  </si>
  <si>
    <t>Cross Country Skiing Men's 18 kilometres</t>
  </si>
  <si>
    <t>Bobsleigh Men's Four/Five</t>
  </si>
  <si>
    <t>Military Ski Patrol Men's Military Ski Patrol</t>
  </si>
  <si>
    <t>Speed Skating Men's Allround</t>
  </si>
  <si>
    <t>Athletics Men's 3,000 metres Steeplechase</t>
  </si>
  <si>
    <t>Weightlifting Men's Lightweight</t>
  </si>
  <si>
    <t>Cycling Men's Team Pursuit, 4,000 metres</t>
  </si>
  <si>
    <t>Weightlifting Men's Middleweight</t>
  </si>
  <si>
    <t>Boxing Men's Light-Heavyweight</t>
  </si>
  <si>
    <t>Diving Women's Springboard</t>
  </si>
  <si>
    <t>Weightlifting Men's Light-Heavyweight</t>
  </si>
  <si>
    <t>Wrestling Men's Light-Heavyweight, Freestyle</t>
  </si>
  <si>
    <t>Weightlifting Men's Featherweight</t>
  </si>
  <si>
    <t>Tennis Women's Doubles</t>
  </si>
  <si>
    <t>Weightlifting Men's Heavyweight</t>
  </si>
  <si>
    <t>Shooting Men's Military Rifle, Prone, 300 metres</t>
  </si>
  <si>
    <t>Shooting Men's Military Rifle, Prone, 300 metres, Team</t>
  </si>
  <si>
    <t>Shooting Men's Military Rifle, Prone, 600 metres, Team</t>
  </si>
  <si>
    <t>Shooting Men's Military Rifle, Standing, 300 metres, Team</t>
  </si>
  <si>
    <t>Shooting Men's Military Rifle, 300 metres and 600 metres, Prone, Team</t>
  </si>
  <si>
    <t>Cycling Men's 50 kilometres</t>
  </si>
  <si>
    <t>Archery Men's Target Archery, 28 metres, Team</t>
  </si>
  <si>
    <t>Archery Men's Target Archery, 33 metres, Team</t>
  </si>
  <si>
    <t>Archery Men's Target Archery, 50 metres, Team</t>
  </si>
  <si>
    <t>Sailing Mixed 40 metres</t>
  </si>
  <si>
    <t>Shooting Men's Military Pistol, Team</t>
  </si>
  <si>
    <t>Shooting Men's Military Pistol, 30 metres</t>
  </si>
  <si>
    <t>Swimming Women's 300 metres Freestyle</t>
  </si>
  <si>
    <t>Shooting Men's Running Target, Double Shot, Team</t>
  </si>
  <si>
    <t>Sailing Mixed 30 metres</t>
  </si>
  <si>
    <t>Shooting Men's Small-Bore Rifle, Standing, 50 metres</t>
  </si>
  <si>
    <t>Shooting Men's Small Bore-Rifle, Standing, 50 metres, Team</t>
  </si>
  <si>
    <t>Sailing Mixed 12 foot</t>
  </si>
  <si>
    <t>Shooting Men's Military Rifle, Prone, 600 metres</t>
  </si>
  <si>
    <t>Equestrianism Men's Vaulting, Individual</t>
  </si>
  <si>
    <t>Equestrianism Men's Vaulting, Team</t>
  </si>
  <si>
    <t>Archery Men's Target Archery, 33 metres, Individual</t>
  </si>
  <si>
    <t>Archery Men's Target Archery, 50 metres, Individual</t>
  </si>
  <si>
    <t>Sailing Mixed 6.5 metres</t>
  </si>
  <si>
    <t>Shooting Men's Military Rifle, Standing, 300 metres</t>
  </si>
  <si>
    <t>Shooting Men's Unknown Event</t>
  </si>
  <si>
    <t>Archery Men's Target Archery, 28 metres, Individual</t>
  </si>
  <si>
    <t>Modern Pentathlon Men's Individual</t>
  </si>
  <si>
    <t>Athletics Men's 4 x 400 metres Relay</t>
  </si>
  <si>
    <t>Athletics Men's 5,000 metres</t>
  </si>
  <si>
    <t>Athletics Men's 10,000 metres</t>
  </si>
  <si>
    <t>Athletics Men's 4 x 100 metres Relay</t>
  </si>
  <si>
    <t>Swimming Women's 4 x 100 metres Freestyle Relay</t>
  </si>
  <si>
    <t>Athletics Men's Decathlon</t>
  </si>
  <si>
    <t>Swimming Women's 100 metres Freestyle</t>
  </si>
  <si>
    <t>Wrestling Men's Featherweight, Greco-Roman</t>
  </si>
  <si>
    <t>Swimming Men's 400 metres Breaststroke</t>
  </si>
  <si>
    <t>Gymnastics Men's Team All-Around, Free System</t>
  </si>
  <si>
    <t>Gymnastics Men's Team All-Around, Swedish System</t>
  </si>
  <si>
    <t>Diving Men's Plain High</t>
  </si>
  <si>
    <t>Diving Women's Plain High</t>
  </si>
  <si>
    <t>Equestrianism Men's Jumping, Individual</t>
  </si>
  <si>
    <t>Athletics Men's Cross-Country, Individual</t>
  </si>
  <si>
    <t>Athletics Men's Cross-Country, Team</t>
  </si>
  <si>
    <t>Equestrianism Men's Jumping, Team</t>
  </si>
  <si>
    <t>Athletics Men's 3,000 metres, Team</t>
  </si>
  <si>
    <t>Cycling Men's Road Race, Team</t>
  </si>
  <si>
    <t>Sailing Mixed 10 metres</t>
  </si>
  <si>
    <t>Equestrianism Men's Dressage, Individual</t>
  </si>
  <si>
    <t>Equestrianism Men's Three-Day Event, Individual</t>
  </si>
  <si>
    <t>Equestrianism Men's Three-Day Event, Team</t>
  </si>
  <si>
    <t>Art Competitions Mixed Literature</t>
  </si>
  <si>
    <t>Athletics Men's Pentathlon</t>
  </si>
  <si>
    <t>Art Competitions Mixed Painting</t>
  </si>
  <si>
    <t>Art Competitions Mixed Sculpturing</t>
  </si>
  <si>
    <t>Athletics Men's 10 kilometres Walk</t>
  </si>
  <si>
    <t>Art Competitions Mixed Music</t>
  </si>
  <si>
    <t>Art Competitions Mixed Architecture</t>
  </si>
  <si>
    <t>Wrestling Men's Middleweight A, Greco-Roman</t>
  </si>
  <si>
    <t>Athletics Men's Javelin Throw, Both Hands</t>
  </si>
  <si>
    <t>Shooting Men's Military Rifle, Three Positions, 300 metres</t>
  </si>
  <si>
    <t>Shooting Men's Military Rifle, Any Position, 600 metres</t>
  </si>
  <si>
    <t>Shooting Men's Military Rifle, 200, 400, 500 and 600 metres, Team</t>
  </si>
  <si>
    <t>Wrestling Men's Middleweight B, Greco-Roman</t>
  </si>
  <si>
    <t>Athletics Men's Shot Put, Both Hands</t>
  </si>
  <si>
    <t>Tennis Mixed Doubles, Covered Courts</t>
  </si>
  <si>
    <t>Shooting Men's Dueling Pistol, 30 metres</t>
  </si>
  <si>
    <t>Rowing Men's Coxed Fours, Outriggers</t>
  </si>
  <si>
    <t>Rowing Men's Coxed Fours, Inriggers</t>
  </si>
  <si>
    <t>Shooting Men's Small-Bore Rifle, Any Position, 50 metres</t>
  </si>
  <si>
    <t>Shooting Men's Small-Bore Rifle, Disappearing Target, 25 metres</t>
  </si>
  <si>
    <t>Shooting Men's Dueling Pistol, 30 metres, Team</t>
  </si>
  <si>
    <t>Shooting Men's Small-Bore Rifle, Disappearing Target, 25 metres, Team</t>
  </si>
  <si>
    <t>Athletics Men's Discus Throw, Both Hands</t>
  </si>
  <si>
    <t>Shooting Men's Small-Bore Rifle, Prone, 50 metres, Team</t>
  </si>
  <si>
    <t>Swimming Men's 100 metres Backstroke</t>
  </si>
  <si>
    <t>Swimming Men's 1,500 metres Freestyle</t>
  </si>
  <si>
    <t>Swimming Men's 4 x 200 metres Freestyle Relay</t>
  </si>
  <si>
    <t>Swimming Men's 200 metres Breaststroke</t>
  </si>
  <si>
    <t>Boxing Men's Middleweight</t>
  </si>
  <si>
    <t>Wrestling Men's Light-Heavyweight, Greco-Roman</t>
  </si>
  <si>
    <t>Athletics Men's Javelin Throw</t>
  </si>
  <si>
    <t>Wrestling Men's Middleweight, Freestyle</t>
  </si>
  <si>
    <t>Sailing Mixed 7 metres</t>
  </si>
  <si>
    <t>Sailing Mixed 6 metres</t>
  </si>
  <si>
    <t>Sailing Mixed 12 metres</t>
  </si>
  <si>
    <t>Shooting Men's Trap, Team</t>
  </si>
  <si>
    <t>Figure Skating Men's Singles</t>
  </si>
  <si>
    <t>Figure Skating Mixed Pairs</t>
  </si>
  <si>
    <t>Shooting Men's Running Target, Single Shot</t>
  </si>
  <si>
    <t>Shooting Men's Running Target, Single Shot, Team</t>
  </si>
  <si>
    <t>Shooting Men's Running Target, Double Shot</t>
  </si>
  <si>
    <t>Sailing Mixed 8 metres</t>
  </si>
  <si>
    <t>Figure Skating Women's Singles</t>
  </si>
  <si>
    <t>Tennis Women's Singles, Covered Courts</t>
  </si>
  <si>
    <t>Tennis Men's Singles, Covered Courts</t>
  </si>
  <si>
    <t>Tennis Men's Doubles, Covered Courts</t>
  </si>
  <si>
    <t>Shooting Men's Small-Bore Rifle, Prone, 50 and 100 yards</t>
  </si>
  <si>
    <t>Shooting Men's Small-Bore Rifle, 50 and 100 yards, Team</t>
  </si>
  <si>
    <t>Shooting Men's Small-Bore Rifle, Disappearing Target, 25 yards</t>
  </si>
  <si>
    <t>Shooting Men's Small-Bore Rifle, Moving Target, 25 yards</t>
  </si>
  <si>
    <t>Shooting Men's Military Rifle, 200/500/600/800/900/1,000 Yards, Team</t>
  </si>
  <si>
    <t>Cycling Men's Team Pursuit, 1,980 yards</t>
  </si>
  <si>
    <t>Racquets Men's Singles</t>
  </si>
  <si>
    <t>Racquets Men's Doubles</t>
  </si>
  <si>
    <t>Shooting Men's Free Pistol, 50 yards</t>
  </si>
  <si>
    <t>Shooting Men's Free Pistol, 50 yards, Team</t>
  </si>
  <si>
    <t>Archery Men's Continental Style</t>
  </si>
  <si>
    <t>Shooting Men's Free Rifle, 1,000 Yards</t>
  </si>
  <si>
    <t>Jeu De Paume Men's Singles</t>
  </si>
  <si>
    <t>Athletics Men's 1,600 metres Medley Relay</t>
  </si>
  <si>
    <t>Athletics Men's 3,200 metres Steeplechase</t>
  </si>
  <si>
    <t>Athletics Men's 3 mile, Team</t>
  </si>
  <si>
    <t>Motorboating Mixed A-Class (Open)</t>
  </si>
  <si>
    <t>Figure Skating Men's Special Figures</t>
  </si>
  <si>
    <t>Athletics Men's 3,500 metres Walk</t>
  </si>
  <si>
    <t>Motorboating Mixed B-Class (Under 60 Feet)</t>
  </si>
  <si>
    <t>Motorboating Mixed C-Class</t>
  </si>
  <si>
    <t>Athletics Men's 10 mile Walk</t>
  </si>
  <si>
    <t>Fencing Men's Sabre, Team</t>
  </si>
  <si>
    <t>Diving Men's Platform</t>
  </si>
  <si>
    <t>Swimming Men's 400 metres Freestyle</t>
  </si>
  <si>
    <t>Fencing Men's epee, Team</t>
  </si>
  <si>
    <t>Wrestling Men's Middleweight, Greco-Roman</t>
  </si>
  <si>
    <t>Wrestling Men's Lightweight, Greco-Roman</t>
  </si>
  <si>
    <t>Wrestling Men's Heavyweight, Greco-Roman</t>
  </si>
  <si>
    <t>Cycling Men's Tandem Sprint, 2,000 metres</t>
  </si>
  <si>
    <t>Athletics Men's 3,000 metres Walk</t>
  </si>
  <si>
    <t>Athletics Men's Stone Throw</t>
  </si>
  <si>
    <t>Athletics Men's Javelin Throw, Freestyle</t>
  </si>
  <si>
    <t>Athletics Men's Pentathlon (Ancient)</t>
  </si>
  <si>
    <t>Gymnastics Men's Individual All-Around, 5 Events</t>
  </si>
  <si>
    <t>Swimming Men's 4 x 250 metres Freestyle Relay</t>
  </si>
  <si>
    <t>Cycling Men's 5,000 metres</t>
  </si>
  <si>
    <t>Cycling Men's 20 kilometres</t>
  </si>
  <si>
    <t>Athletics Men's Discus Throw, Greek Style</t>
  </si>
  <si>
    <t>Rowing Men's Coxed Pairs (1 kilometres)</t>
  </si>
  <si>
    <t>Rowing Men's Coxed Pairs (1 mile)</t>
  </si>
  <si>
    <t>Athletics Men's 5 mile</t>
  </si>
  <si>
    <t>Athletics Men's 1,500 metres Walk</t>
  </si>
  <si>
    <t>Shooting Men's Free Rifle, Any Position, 300 metres</t>
  </si>
  <si>
    <t>Shooting Men's Military Rifle, 1873-1874 Gras Model, Kneeling Or Standing, 200 metres</t>
  </si>
  <si>
    <t>Shooting Men's Military Rifle, Kneeling Or Standing, 300 metres</t>
  </si>
  <si>
    <t>Shooting Men's Free Pistol, 25 metres</t>
  </si>
  <si>
    <t>Shooting Men's Military Revolver, 1873-1874 Gras Model, 20 metres</t>
  </si>
  <si>
    <t>Shooting Men's Military Revolver, 20 metres</t>
  </si>
  <si>
    <t>Shooting Men's Dueling Pistol Au Vise 20 metres</t>
  </si>
  <si>
    <t>Shooting Men's Dueling Pistol Au Commandement, 25 metres</t>
  </si>
  <si>
    <t>Fencing Men's Sabre, Individual, Three Hits</t>
  </si>
  <si>
    <t>Shooting Men's Trap, Single Shot, 16 metres</t>
  </si>
  <si>
    <t>Shooting Men's Trap, Double Shot, 14 metres</t>
  </si>
  <si>
    <t>Wrestling Men's All-Around, Greco-Roman</t>
  </si>
  <si>
    <t>Wrestling Men's Heavyweight, Freestyle</t>
  </si>
  <si>
    <t>Boxing Men's Bantamweight</t>
  </si>
  <si>
    <t>Boxing Men's Welterweight</t>
  </si>
  <si>
    <t>Wrestling Men's Featherweight, Freestyle</t>
  </si>
  <si>
    <t>Wrestling Men's Light-Flyweight, Freestyle</t>
  </si>
  <si>
    <t>Rowing Men's Coxless Fours</t>
  </si>
  <si>
    <t>Wrestling Men's Lightweight, Freestyle</t>
  </si>
  <si>
    <t>Boxing Men's Heavyweight</t>
  </si>
  <si>
    <t>Rowing Men's Double Sculls</t>
  </si>
  <si>
    <t>Diving Men's Springboard</t>
  </si>
  <si>
    <t>Rowing Men's Coxless Pairs</t>
  </si>
  <si>
    <t>Fencing Men's Foil, Team</t>
  </si>
  <si>
    <t>Boxing Men's Lightweight</t>
  </si>
  <si>
    <t>Wrestling Men's Flyweight, Freestyle</t>
  </si>
  <si>
    <t>Boxing Men's Flyweight</t>
  </si>
  <si>
    <t>Boxing Men's Featherweight</t>
  </si>
  <si>
    <t>Wrestling Men's Bantamweight, Freestyle</t>
  </si>
  <si>
    <t>Wrestling Men's Welterweight, Freestyle</t>
  </si>
  <si>
    <t>Athletics Men's 56-pound Weight Throw</t>
  </si>
  <si>
    <t>Gymnastics Men's Club Swinging</t>
  </si>
  <si>
    <t>Gymnastics Men's Side Horse</t>
  </si>
  <si>
    <t>Swimming Men's 220 yard Freestyle</t>
  </si>
  <si>
    <t>Swimming Men's 880 yard Freestyle</t>
  </si>
  <si>
    <t>Swimming Men's One Mile Freestyle</t>
  </si>
  <si>
    <t>Swimming Men's 4 x 50 Yard Freestyle Relay</t>
  </si>
  <si>
    <t>Swimming Men's Plunge For Distance</t>
  </si>
  <si>
    <t>Gymnastics Men's Individual All-Around, Field Sports</t>
  </si>
  <si>
    <t>Gymnastics Men's Individual All-Around, Apparatus Work</t>
  </si>
  <si>
    <t>Cycling Men's 1/4 mile</t>
  </si>
  <si>
    <t>Cycling Men's 1/2 mile</t>
  </si>
  <si>
    <t>Cycling Men's 5 mile</t>
  </si>
  <si>
    <t>Cycling Men's 25 mile</t>
  </si>
  <si>
    <t>Cycling Men's 1/3 mile</t>
  </si>
  <si>
    <t>Cycling Men's 1 mile</t>
  </si>
  <si>
    <t>Cycling Men's 2 mile</t>
  </si>
  <si>
    <t>Lacrosse Men's Lacrosse</t>
  </si>
  <si>
    <t>Swimming Men's 100 Yard Backstroke</t>
  </si>
  <si>
    <t>Swimming Men's 440 Yard Breaststroke</t>
  </si>
  <si>
    <t>Roque Men's Singles</t>
  </si>
  <si>
    <t>Archery Men's Double American Round</t>
  </si>
  <si>
    <t>Archery Men's Double York Round</t>
  </si>
  <si>
    <t>Archery Men's Team Round</t>
  </si>
  <si>
    <t>Golf Men's Team</t>
  </si>
  <si>
    <t>Athletics Men's All-Around Championship</t>
  </si>
  <si>
    <t>Athletics Men's 2,590 metres Steeplechase</t>
  </si>
  <si>
    <t>Archery Women's Double Columbia Round</t>
  </si>
  <si>
    <t>Archery Women's Double National Round</t>
  </si>
  <si>
    <t>Swimming Men's 50 yard Freestyle</t>
  </si>
  <si>
    <t>Swimming Men's 100 yard Freestyle</t>
  </si>
  <si>
    <t>Swimming Men's 440 yard Freestyle</t>
  </si>
  <si>
    <t>Gymnastics Men's Individual All-Around, 4 Events</t>
  </si>
  <si>
    <t>Fencing Men's Single Sticks, Individual</t>
  </si>
  <si>
    <t>Athletics Men's 4 mile, Team</t>
  </si>
  <si>
    <t>Archery Women's Team Round</t>
  </si>
  <si>
    <t>Weightlifting Men's All-Around Dumbbell Contest</t>
  </si>
  <si>
    <t>Equestrianism Mixed Jumping, Individual</t>
  </si>
  <si>
    <t>Rowing Men's Coxed Pairs</t>
  </si>
  <si>
    <t>Athletics Men's 400 metres Hurdles</t>
  </si>
  <si>
    <t>Athletics Men's Hammer Throw</t>
  </si>
  <si>
    <t>Swimming Men's 200 metres Freestyle</t>
  </si>
  <si>
    <t>Athletics Men's 200 metres</t>
  </si>
  <si>
    <t>Shooting Men's Free Pistol, 50 metres</t>
  </si>
  <si>
    <t>Cycling Men's Points Race</t>
  </si>
  <si>
    <t>Swimming Men's 200 metres Backstroke</t>
  </si>
  <si>
    <t>Fencing Men's epee, Individual</t>
  </si>
  <si>
    <t>Tennis Women's Singles</t>
  </si>
  <si>
    <t>Rowing Men's Coxed Fours</t>
  </si>
  <si>
    <t>Rowing Men's Single Sculls</t>
  </si>
  <si>
    <t>Shooting Men's Trap</t>
  </si>
  <si>
    <t>Tennis Mixed Doubles</t>
  </si>
  <si>
    <t>Shooting Men's Free Pistol, 50 metres, Team</t>
  </si>
  <si>
    <t>Shooting Men's Free Rifle, Three Positions, 300 metres, Team</t>
  </si>
  <si>
    <t>Polo Men's Polo</t>
  </si>
  <si>
    <t>Rugby Men's Rugby</t>
  </si>
  <si>
    <t>Tug-Of-War Men's Tug-Of-War</t>
  </si>
  <si>
    <t>Golf Women's Individual</t>
  </si>
  <si>
    <t>Fencing Men's Sabre, Masters, Individual</t>
  </si>
  <si>
    <t>Fencing Men's epee, Masters, Individual</t>
  </si>
  <si>
    <t>Swimming Men's 4,000 metres Freestyle</t>
  </si>
  <si>
    <t>Swimming Men's Underwater Swimming</t>
  </si>
  <si>
    <t>Cricket Men's Cricket</t>
  </si>
  <si>
    <t>Sailing Mixed Open</t>
  </si>
  <si>
    <t>Sailing Mixed 0.5-1 Ton</t>
  </si>
  <si>
    <t>Croquet Mixed Singles, One Ball</t>
  </si>
  <si>
    <t>Croquet Mixed Doubles</t>
  </si>
  <si>
    <t>Fencing Men's epee, Masters and Amateurs, Individual</t>
  </si>
  <si>
    <t>Cycling Men's 25 kilometres</t>
  </si>
  <si>
    <t>Sailing Mixed 1-2 Ton</t>
  </si>
  <si>
    <t>Athletics Men's Standing High Jump</t>
  </si>
  <si>
    <t>Athletics Men's Standing Long Jump</t>
  </si>
  <si>
    <t>Athletics Men's Standing Triple Jump</t>
  </si>
  <si>
    <t>Athletics Men's 4,000 metres Steeplechase</t>
  </si>
  <si>
    <t>Athletics Men's 5,000 metres, Team</t>
  </si>
  <si>
    <t>Sailing Mixed 10-20 Ton</t>
  </si>
  <si>
    <t>Sailing Mixed 2-3 Ton</t>
  </si>
  <si>
    <t>Shooting Men's Free Rifle, Kneeling, 300 metres</t>
  </si>
  <si>
    <t>Shooting Men's Free Rifle, Prone, 300 metres</t>
  </si>
  <si>
    <t>Shooting Men's Free Rifle, Standing, 300 metres</t>
  </si>
  <si>
    <t>Swimming Men's 1,000 metres Freestyle</t>
  </si>
  <si>
    <t>Swimming Men's 200 metres Team Swimming</t>
  </si>
  <si>
    <t>Sailing Mixed 20+ Ton</t>
  </si>
  <si>
    <t>Sailing Mixed 0-0.5 Ton</t>
  </si>
  <si>
    <t>Athletics Men's 2,500 metres Steeplechase</t>
  </si>
  <si>
    <t>Equestrianism Mixed Four-In-Hand Competition</t>
  </si>
  <si>
    <t>Golf Men's Individual</t>
  </si>
  <si>
    <t>Basque Pelota Men's Two-Man Teams With Cesta</t>
  </si>
  <si>
    <t>Equestrianism Mixed Hacks And Hunter Combined</t>
  </si>
  <si>
    <t>Croquet Mixed Singles, Two Balls</t>
  </si>
  <si>
    <t>Archery Men's Au Cordon Dore, 50 metres</t>
  </si>
  <si>
    <t>Archery Men's Sur La Perche a La Herse</t>
  </si>
  <si>
    <t>Equestrianism Mixed High Jump</t>
  </si>
  <si>
    <t>Sailing Mixed 3-10 Ton</t>
  </si>
  <si>
    <t>Archery Men's Sur La Perche a La Pyramide</t>
  </si>
  <si>
    <t>Archery Men's Unknown Event</t>
  </si>
  <si>
    <t>Archery Men's Au Chapelet, 50 metres</t>
  </si>
  <si>
    <t>Swimming Men's 200 metres Obstacle Course</t>
  </si>
  <si>
    <t>Archery Men's Championnat Du Monde</t>
  </si>
  <si>
    <t>Athletics Men's 60 metres</t>
  </si>
  <si>
    <t>Athletics Men's 200 metres Hurdles</t>
  </si>
  <si>
    <t>Equestrianism Mixed Long Jump</t>
  </si>
  <si>
    <t>Archery Men's Au Chapelet, 33 metres</t>
  </si>
  <si>
    <t>Archery Men's Au Cordon Dore, 33 metres</t>
  </si>
  <si>
    <t>Fencing Men's Foil, Individual</t>
  </si>
  <si>
    <t>Athletics Men's 800 metres</t>
  </si>
  <si>
    <t>Athletics Men's Marathon</t>
  </si>
  <si>
    <t>Athletics Men's 110 metres Hurdles</t>
  </si>
  <si>
    <t>Athletics Men's 400 metres</t>
  </si>
  <si>
    <t>Athletics Men's 100 metres</t>
  </si>
  <si>
    <t>Athletics Men's Triple Jump</t>
  </si>
  <si>
    <t>Gymnastics Men's Horse Vault</t>
  </si>
  <si>
    <t>Gymnastics Men's Parallel Bars</t>
  </si>
  <si>
    <t>Gymnastics Men's Horizontal Bar</t>
  </si>
  <si>
    <t>Gymnastics Men's Rings</t>
  </si>
  <si>
    <t>Gymnastics Men's Pommelled Horse</t>
  </si>
  <si>
    <t>Swimming Men's 100 metres Freestyle</t>
  </si>
  <si>
    <t>Fencing Men's Sabre, Individual</t>
  </si>
  <si>
    <t>Athletics Men's Shot Put</t>
  </si>
  <si>
    <t>Athletics Men's Discus Throw</t>
  </si>
  <si>
    <t>Athletics Men's 1,500 metres</t>
  </si>
  <si>
    <t>Athletics Men's High Jump</t>
  </si>
  <si>
    <t>Athletics Men's Long Jump</t>
  </si>
  <si>
    <t>Tennis Men's Singles</t>
  </si>
  <si>
    <t>Cycling Men's Sprint</t>
  </si>
  <si>
    <t>Athletics Men's Pole Vault</t>
  </si>
  <si>
    <t>Tennis Men's Doubles</t>
  </si>
  <si>
    <t>Shooting Men's Free Rifle, Three Positions, 300 metres</t>
  </si>
  <si>
    <t>Fencing Men's Foil, Masters, Individual</t>
  </si>
  <si>
    <t>Gymnastics Men's Rope Climbing</t>
  </si>
  <si>
    <t>Weightlifting Men's Unlimited, Two Hands</t>
  </si>
  <si>
    <t>Cycling Men's 333 metres Time Trial</t>
  </si>
  <si>
    <t>Weightlifting Men's Unlimited, One Hand</t>
  </si>
  <si>
    <t>Cycling Men's 100 kilometres</t>
  </si>
  <si>
    <t>Gymnastics Men's Parallel Bars, Teams</t>
  </si>
  <si>
    <t>Gymnastics Men's Horizontal Bar, Teams</t>
  </si>
  <si>
    <t>Wrestling Men's Unlimited Class, Greco-Roman</t>
  </si>
  <si>
    <t>Cycling Men's 10,000 metres</t>
  </si>
  <si>
    <t>Swimming Men's 1,200 metres Freestyle</t>
  </si>
  <si>
    <t>Shooting Men's Military Rifle, 200 metres</t>
  </si>
  <si>
    <t>Cycling Men's 12-Hours Race</t>
  </si>
  <si>
    <t>Shooting Men's Military Pistol, 25 metres</t>
  </si>
  <si>
    <t>Shooting Men's Muzzle-Loading Pistol, 25 metres</t>
  </si>
  <si>
    <t>Swimming Men's 500 metres Freestyle</t>
  </si>
  <si>
    <t>Shooting Men's Free Pistol, 30 metres</t>
  </si>
  <si>
    <t>Ommited_Events_From_Recent_Olympic</t>
  </si>
  <si>
    <t>So, yes there are multiple events that have been ommited or removed from the recent edition of olympic as listed in the table.</t>
  </si>
  <si>
    <t>Are there any notable trends in the height and weight of participants over time</t>
  </si>
  <si>
    <t>select g.games_year, avg(p.height) avg_height, avg(p.weight) avg_weight
from games g
join games_competitor gc 
on g.id=gc.games_id
join person p 
on p.id=gc.person_id
where p.height is not null and p.weight is not null
group by g.games_year
order by g.games_year;</t>
  </si>
  <si>
    <t xml:space="preserve"> avg_height</t>
  </si>
  <si>
    <t xml:space="preserve"> avg_weight</t>
  </si>
  <si>
    <t>Both average height and weight show a clear upward trend over time.The dotted trendlines confirm a positive linear progression.Athletes have generally become taller and heavier over the decades</t>
  </si>
  <si>
    <t>Are there any dominant countries or regions in specific sports or events?</t>
  </si>
  <si>
    <t>Sweden</t>
  </si>
  <si>
    <t>USA</t>
  </si>
  <si>
    <t>Canada</t>
  </si>
  <si>
    <t>Finland</t>
  </si>
  <si>
    <t>India</t>
  </si>
  <si>
    <t>UK</t>
  </si>
  <si>
    <t>Czechoslovakia</t>
  </si>
  <si>
    <t>Switzerland</t>
  </si>
  <si>
    <t>Netherlands</t>
  </si>
  <si>
    <t xml:space="preserve"> event_name</t>
  </si>
  <si>
    <t xml:space="preserve"> medal_count</t>
  </si>
  <si>
    <t>select nr.region_name,e.event_name,s.sport_name, count(ce.medal_id) medal_count
from noc_region nr
join person_region pr 
on nr.id=pr.region_id
join games_competitor gc 
on pr.person_id=gc.person_id
join competitor_event ce 
on ce.competitor_id=gc.id
join event e 
on e.id=ce.event_id
join medal m 
on m.id=ce.medal_id
join sport s
on s.id=e.sport_id
group by nr.region_name,e.event_name,s.sport_name
order by medal_count desc
limit 10;</t>
  </si>
  <si>
    <t>So, yes there are some specific country which are very dominant in specific event and sports like Sweden bagged maximun medal in Ice Hockey section, India tops in medal count in men's hockey, and USA bagged maximun medal in Art Competitions.</t>
  </si>
  <si>
    <t>What factors contribute to the success or performance of participants from different countries?</t>
  </si>
  <si>
    <t>France</t>
  </si>
  <si>
    <t>Germany</t>
  </si>
  <si>
    <t>Italy</t>
  </si>
  <si>
    <t>Japan</t>
  </si>
  <si>
    <t>Australia</t>
  </si>
  <si>
    <t>Hungary</t>
  </si>
  <si>
    <t>Poland</t>
  </si>
  <si>
    <t>Soviet Union</t>
  </si>
  <si>
    <t>Russia</t>
  </si>
  <si>
    <t>Spain</t>
  </si>
  <si>
    <t>China</t>
  </si>
  <si>
    <t>Austria</t>
  </si>
  <si>
    <t>Norway</t>
  </si>
  <si>
    <t>South Korea</t>
  </si>
  <si>
    <t>Romania</t>
  </si>
  <si>
    <t>West Germany</t>
  </si>
  <si>
    <t>Brazil</t>
  </si>
  <si>
    <t>Denmark</t>
  </si>
  <si>
    <t>Bulgaria</t>
  </si>
  <si>
    <t>Belgium</t>
  </si>
  <si>
    <t>East Germany</t>
  </si>
  <si>
    <t>Argentina</t>
  </si>
  <si>
    <t>Ukraine</t>
  </si>
  <si>
    <t>Mexico</t>
  </si>
  <si>
    <t>Yugoslavia</t>
  </si>
  <si>
    <t>Cuba</t>
  </si>
  <si>
    <t>New Zealand</t>
  </si>
  <si>
    <t>Greece</t>
  </si>
  <si>
    <t>Czech Republic</t>
  </si>
  <si>
    <t>Belarus</t>
  </si>
  <si>
    <t>Unified Team</t>
  </si>
  <si>
    <t>South Africa</t>
  </si>
  <si>
    <t>Kazakhstan</t>
  </si>
  <si>
    <t>Portugal</t>
  </si>
  <si>
    <t>Egypt</t>
  </si>
  <si>
    <t>Ireland</t>
  </si>
  <si>
    <t>Turkey</t>
  </si>
  <si>
    <t>Slovenia</t>
  </si>
  <si>
    <t>Slovakia</t>
  </si>
  <si>
    <t>Taiwan</t>
  </si>
  <si>
    <t>Colombia</t>
  </si>
  <si>
    <t>Luxembourg</t>
  </si>
  <si>
    <t>Latvia</t>
  </si>
  <si>
    <t>Puerto Rico</t>
  </si>
  <si>
    <t>Croatia</t>
  </si>
  <si>
    <t>Venezuela</t>
  </si>
  <si>
    <t>Estonia</t>
  </si>
  <si>
    <t>Nigeria</t>
  </si>
  <si>
    <t>Jamaica</t>
  </si>
  <si>
    <t>Chile</t>
  </si>
  <si>
    <t>North Korea</t>
  </si>
  <si>
    <t>Kenya</t>
  </si>
  <si>
    <t>Iran</t>
  </si>
  <si>
    <t>Thailand</t>
  </si>
  <si>
    <t>Hong Kong</t>
  </si>
  <si>
    <t>Israel</t>
  </si>
  <si>
    <t>Lithuania</t>
  </si>
  <si>
    <t>Philippines</t>
  </si>
  <si>
    <t>Iceland</t>
  </si>
  <si>
    <t>Tunisia</t>
  </si>
  <si>
    <t>Algeria</t>
  </si>
  <si>
    <t>Mongolia</t>
  </si>
  <si>
    <t>Uruguay</t>
  </si>
  <si>
    <t>Morocco</t>
  </si>
  <si>
    <t>Malaysia</t>
  </si>
  <si>
    <t>Uzbekistan</t>
  </si>
  <si>
    <t>Pakistan</t>
  </si>
  <si>
    <t>Peru</t>
  </si>
  <si>
    <t>Serbia</t>
  </si>
  <si>
    <t>Serbia and Montenegro</t>
  </si>
  <si>
    <t>Guatemala</t>
  </si>
  <si>
    <t>Indonesia</t>
  </si>
  <si>
    <t>Senegal</t>
  </si>
  <si>
    <t>Trinidad and Tobago</t>
  </si>
  <si>
    <t>Bahamas</t>
  </si>
  <si>
    <t>Liechtenstein</t>
  </si>
  <si>
    <t>Ethiopia</t>
  </si>
  <si>
    <t>Ghana</t>
  </si>
  <si>
    <t>Singapore</t>
  </si>
  <si>
    <t>Azerbaijan</t>
  </si>
  <si>
    <t>Zimbabwe</t>
  </si>
  <si>
    <t>Georgia</t>
  </si>
  <si>
    <t>Cameroon</t>
  </si>
  <si>
    <t>Virgin Islands</t>
  </si>
  <si>
    <t>Ecuador</t>
  </si>
  <si>
    <t>Lebanon</t>
  </si>
  <si>
    <t>Angola</t>
  </si>
  <si>
    <t>Moldova</t>
  </si>
  <si>
    <t>Costa Rica</t>
  </si>
  <si>
    <t>Dominican Republic</t>
  </si>
  <si>
    <t>Kuwait</t>
  </si>
  <si>
    <t>Uganda</t>
  </si>
  <si>
    <t>Armenia</t>
  </si>
  <si>
    <t>Kyrgyzstan</t>
  </si>
  <si>
    <t>Individual Olympic Athletes</t>
  </si>
  <si>
    <t>Cyprus</t>
  </si>
  <si>
    <t>Fiji</t>
  </si>
  <si>
    <t>Barbados</t>
  </si>
  <si>
    <t>Saudi Arabia</t>
  </si>
  <si>
    <t>El Salvador</t>
  </si>
  <si>
    <t>Bermuda</t>
  </si>
  <si>
    <t>Monaco</t>
  </si>
  <si>
    <t>San Marino</t>
  </si>
  <si>
    <t>Ivory Coast</t>
  </si>
  <si>
    <t>Qatar</t>
  </si>
  <si>
    <t>Honduras</t>
  </si>
  <si>
    <t>Andorra</t>
  </si>
  <si>
    <t>Iraq</t>
  </si>
  <si>
    <t>Bosnia and Herzegovina</t>
  </si>
  <si>
    <t>Syria</t>
  </si>
  <si>
    <t>Vietnam</t>
  </si>
  <si>
    <t>Zambia</t>
  </si>
  <si>
    <t>Bohemia</t>
  </si>
  <si>
    <t>Boliva</t>
  </si>
  <si>
    <t>Tanzania</t>
  </si>
  <si>
    <t>Mauritius</t>
  </si>
  <si>
    <t>Sri Lanka</t>
  </si>
  <si>
    <t>Panama</t>
  </si>
  <si>
    <t>Paraguay</t>
  </si>
  <si>
    <t>Antigua and Barbuda</t>
  </si>
  <si>
    <t>Nicaragua</t>
  </si>
  <si>
    <t>Madagascar</t>
  </si>
  <si>
    <t>United Arab Republic</t>
  </si>
  <si>
    <t>Sierra Leone</t>
  </si>
  <si>
    <t>Malta</t>
  </si>
  <si>
    <t>Bahrain</t>
  </si>
  <si>
    <t>United Arab Emirates</t>
  </si>
  <si>
    <t>Guam</t>
  </si>
  <si>
    <t>Seychelles</t>
  </si>
  <si>
    <t>Papua New Guinea</t>
  </si>
  <si>
    <t>Myanmar</t>
  </si>
  <si>
    <t>Montenegro</t>
  </si>
  <si>
    <t>Saar</t>
  </si>
  <si>
    <t>Guyana</t>
  </si>
  <si>
    <t>Australasia</t>
  </si>
  <si>
    <t>Democratic Republic of the Congo</t>
  </si>
  <si>
    <t>Macedonia</t>
  </si>
  <si>
    <t>Netherlands Antilles</t>
  </si>
  <si>
    <t>Haiti</t>
  </si>
  <si>
    <t>Botswana</t>
  </si>
  <si>
    <t>Republic of Congo</t>
  </si>
  <si>
    <t>Mali</t>
  </si>
  <si>
    <t>Malawi</t>
  </si>
  <si>
    <t>Cayman Islands</t>
  </si>
  <si>
    <t>Jordan</t>
  </si>
  <si>
    <t>Afghanistan</t>
  </si>
  <si>
    <t>Albania</t>
  </si>
  <si>
    <t>Namibia</t>
  </si>
  <si>
    <t>Belize</t>
  </si>
  <si>
    <t>Liberia</t>
  </si>
  <si>
    <t>Tajikistan</t>
  </si>
  <si>
    <t>Nepal</t>
  </si>
  <si>
    <t>Mozambique</t>
  </si>
  <si>
    <t>Suriname</t>
  </si>
  <si>
    <t>Swaziland</t>
  </si>
  <si>
    <t>Central African Republic</t>
  </si>
  <si>
    <t>Lesotho</t>
  </si>
  <si>
    <t>Samoa</t>
  </si>
  <si>
    <t>Gabon</t>
  </si>
  <si>
    <t>Sudan</t>
  </si>
  <si>
    <t>Cambodia</t>
  </si>
  <si>
    <t>Benin</t>
  </si>
  <si>
    <t>Oman</t>
  </si>
  <si>
    <t>Gambia</t>
  </si>
  <si>
    <t>Togo</t>
  </si>
  <si>
    <t>Turkmenistan</t>
  </si>
  <si>
    <t>Bangladesh</t>
  </si>
  <si>
    <t>Laos</t>
  </si>
  <si>
    <t>Rwanda</t>
  </si>
  <si>
    <t>Grenada</t>
  </si>
  <si>
    <t>Vietnam (pre)</t>
  </si>
  <si>
    <t>Guinea</t>
  </si>
  <si>
    <t>Maldives</t>
  </si>
  <si>
    <t>Tonga</t>
  </si>
  <si>
    <t>Virgin Islands, British</t>
  </si>
  <si>
    <t>Aruba</t>
  </si>
  <si>
    <t>Eritrea</t>
  </si>
  <si>
    <t>Libya</t>
  </si>
  <si>
    <t>Saint Vincent</t>
  </si>
  <si>
    <t>Burkina Faso</t>
  </si>
  <si>
    <t>Chad</t>
  </si>
  <si>
    <t>Equatorial Guinea</t>
  </si>
  <si>
    <t>Burundi</t>
  </si>
  <si>
    <t>Cook Islands</t>
  </si>
  <si>
    <t>American Samoa</t>
  </si>
  <si>
    <t>Bhutan</t>
  </si>
  <si>
    <t>Djibouti</t>
  </si>
  <si>
    <t>West Indies Federation</t>
  </si>
  <si>
    <t>Vanuatu</t>
  </si>
  <si>
    <t>Yemen</t>
  </si>
  <si>
    <t>Malaya</t>
  </si>
  <si>
    <t>Saint Lucia</t>
  </si>
  <si>
    <t>Mauritania</t>
  </si>
  <si>
    <t>Niger</t>
  </si>
  <si>
    <t>Micronesia</t>
  </si>
  <si>
    <t>Solomon Islands</t>
  </si>
  <si>
    <t>Palau</t>
  </si>
  <si>
    <t>Palestine</t>
  </si>
  <si>
    <t>Guinea-Bissau</t>
  </si>
  <si>
    <t>Comoros</t>
  </si>
  <si>
    <t>Dominica</t>
  </si>
  <si>
    <t>Cape Verde</t>
  </si>
  <si>
    <t>Sao Tome and Principe</t>
  </si>
  <si>
    <t>Marshall Islands</t>
  </si>
  <si>
    <t>Nauru</t>
  </si>
  <si>
    <t>Zimbabwe (Rhodesia)</t>
  </si>
  <si>
    <t>Refugee Olympic Team</t>
  </si>
  <si>
    <t>Kiribati</t>
  </si>
  <si>
    <t>North Yemen</t>
  </si>
  <si>
    <t>Brunei</t>
  </si>
  <si>
    <t>Timor-Leste</t>
  </si>
  <si>
    <t>Kosovo</t>
  </si>
  <si>
    <t>Tuvalu</t>
  </si>
  <si>
    <t>South Yemen</t>
  </si>
  <si>
    <t xml:space="preserve"> total_participants</t>
  </si>
  <si>
    <t xml:space="preserve"> sports_count</t>
  </si>
  <si>
    <t>select nr.region_name,
       count(distinct gc.id)total_participants, 
       count(distinct e.sport_id) sports_count, 
       count(ce.medal_id) medal_count,
       avg(p.height) avg_height,
       avg(p.weight) avg_weight
from noc_region nr
join person_region pr
on nr.id=pr.region_id
join games_competitor gc 
on gc.person_id=pr.person_id
join competitor_event ce
on ce.competitor_id=gc.id
join event e
on e.id=ce.event_id
join person p
on p.id=pr.person_id
group by nr.region_name
order by medal_count desc;</t>
  </si>
  <si>
    <t>The analysis indicates that Olympic success is influenced by multiple factors, including athlete participation, sport diversity, and performance efficiency. While countries with larger delegations tend to win more medals overall, smaller nations often demonstrate higher efficiency in terms of medals per athlete. Additionally, participation across a broader range of sports increases medal opportunities. Physical attributes such as height and weight show limited direct correlation with overall success, suggesting that strategic focus, training quality, and specialization play a more significant role in determining performance.</t>
  </si>
  <si>
    <t>Are there any countries that consistently perform well in multiple Olympic editions</t>
  </si>
  <si>
    <t>select nr.region_name,
       g.games_year, 
       count(distinct gc.id)participant_count,
       count(ce.medal_id) medal_count
from games g
join games_competitor gc
on g.id=gc.games_id
join person_region pr 
on pr.person_id=gc.person_id
join noc_region nr
on nr.id=pr.region_id
join competitor_event ce
on ce.competitor_id=gc.id
group by nr.region_name, g.games_year
order by medal_count desc
limit 50;</t>
  </si>
  <si>
    <t xml:space="preserve"> games_year</t>
  </si>
  <si>
    <t xml:space="preserve"> participant_count</t>
  </si>
  <si>
    <t>Here top 50 result with respect to medal tally is fetched by considering country and game year and we find that USA tops the list with grabbing maximum medal in multi ple olympic edition.Also germany, uk, and russia also perform well in multiple editions.</t>
  </si>
  <si>
    <t>Are there any sports or events that have a higher number of medalists from a specific region?</t>
  </si>
  <si>
    <t xml:space="preserve"> region_name</t>
  </si>
  <si>
    <t>select s.sport_name,
       e.event_name,
       nr.region_name,
       count(ce.medal_id) medal_count
from noc_region nr 
join person_region pr 
on nr.id=pr.region_id
join games_competitor gc 
on gc.person_id=pr.person_id
join competitor_event ce 
on ce.competitor_id=gc.id
join event e 
on e.id=ce.event_id
join sport s 
on e.sport_id=s.id
group by s.sport_name,e.event_name,nr.region_name
order by medal_count desc;
limit 10;</t>
  </si>
  <si>
    <t>So from this analysis we got that particularly in men's ice hockey event, sweden, usa, canada, finland, czechoslovakia and Switzerland bagged maximun no of medals followed by normal hockey event where india grabbed maximum medal followed by UK and Netherland.</t>
  </si>
  <si>
    <t>What are some notable instances of unexpected or surprising medal wins?</t>
  </si>
  <si>
    <t>select nr.region_name,
       min(g.games_year) game_yr,
       count(ce.medal_id) medal_count
from games g
join games_competitor gc 
on g.id=gc.games_id
join person_region pr 
on pr.person_id=gc.person_id
join noc_region nr 
on nr.id=pr.region_id
join competitor_event ce 
on ce.competitor_id=gc.id
group by nr.region_name
order by game_yr desc;</t>
  </si>
  <si>
    <t xml:space="preserve"> game_yr</t>
  </si>
  <si>
    <t>So, yes there is a surprise that Refugee Olympic team region participated 1st time in the recent olympic event and grabbed a notable amount of medal (12 medals)</t>
  </si>
  <si>
    <t>Are there any regions that have experienced significant growth or decline in Olympic participation?</t>
  </si>
  <si>
    <t>country</t>
  </si>
  <si>
    <t xml:space="preserve"> oly_year</t>
  </si>
  <si>
    <t xml:space="preserve"> current_year_athlete</t>
  </si>
  <si>
    <t xml:space="preserve"> prev_year_athlete</t>
  </si>
  <si>
    <t xml:space="preserve"> athlete_diff</t>
  </si>
  <si>
    <t>with participation as
(select nr.region_name country,
       g.games_year oly_year,
       count(distinct gc.person_id) total_athlete
from games g
join games_competitor gc 
on g.id=gc.games_id
join person_region pr 
on pr.person_id=gc.person_id
join noc_region nr 
on nr.id=pr.region_id
join competitor_event ce 
on ce.competitor_id=gc.id
group by nr.region_name,g.games_year
order by nr.region_name,g.games_year),
trend as
(select country,
	   oly_year,
       total_athlete current_year_athlete,
       lag(total_athlete,1) over(partition by country order by oly_year) prev_year_athlete,
       abs(total_athlete-lag(total_athlete,1) over(partition by country order by oly_year)) athlete_diff
from participation)
select *
from trend
order by athlete_diff desc
limit 5;</t>
  </si>
  <si>
    <t>So, yes there are are multiple countries like Australia, Unified team, USA and China are there which have experienced a notable change in athlete participation count in consecutive year.</t>
  </si>
  <si>
    <t>How do cultural or geographical factors influence the performance of regions in specific sports</t>
  </si>
  <si>
    <t xml:space="preserve"> total_participant</t>
  </si>
  <si>
    <t>select nr.region_name,
       s.sport_name,
       count(distinct gc.person_id) total_participant,
       avg(p.height) overall_height,
       avg(p.weight) overall_weight,
	   10000*(avg(p.weight)/power(avg(p.height),2)) BMI,
       count(ce.medal_id) medal_count
from competitor_event ce
join games_competitor gc 
on ce.competitor_id=gc.id
join person_region pr
on pr.person_id=gc.person_id
join noc_region nr 
on nr.id=pr.region_id
join event e 
on e.id=ce.event_id
join sport s
on s.id=e.sport_id
join person p
on p.id=gc.person_id
group by nr.region_name,s.sport_name
order by medal_count desc
limit 10;</t>
  </si>
  <si>
    <t xml:space="preserve"> overall_height</t>
  </si>
  <si>
    <t xml:space="preserve"> overall_weight</t>
  </si>
  <si>
    <t xml:space="preserve"> BMI</t>
  </si>
  <si>
    <t>So, from the result we can say that there are some countries whose participant counts and physical balance combinely are goog grabbed maximum number of medals like USA,UK, FRANCE,GERMANY, ITALY and AUSTRALIA.</t>
  </si>
  <si>
    <t>Are there any regions that have had a notable impact on the overall medal tally?</t>
  </si>
  <si>
    <t>select nr.region_name country,
       count(ce.medal_id) total_medal
from competitor_event ce
join games_competitor gc 
on ce.competitor_id=gc.id
join person_region pr
on pr.person_id=gc.person_id
join noc_region nr 
on nr.id=pr.region_id
join event e 
on e.id=ce.event_id
group by nr.region_name
order by total_medal desc;</t>
  </si>
  <si>
    <t xml:space="preserve"> total_medal</t>
  </si>
  <si>
    <t>Total_Medal</t>
  </si>
  <si>
    <t>So, there are some countries who impacted heavily in the overall medal tally which is around 1176 because there are 36 data points(medal count by country) which are being considered as outliers from whisker plot. These countries are listed below.</t>
  </si>
  <si>
    <t>Impactful_region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</si>
</sst>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theme="1"/>
      <name val="Calibri"/>
      <family val="2"/>
      <scheme val="minor"/>
    </font>
    <font>
      <b/>
      <sz val="10"/>
      <color rgb="FF24292E"/>
      <name val="Plus Jakarta Sans"/>
    </font>
    <font>
      <b/>
      <sz val="10"/>
      <color theme="1"/>
      <name val="Calibri"/>
      <family val="2"/>
      <scheme val="minor"/>
    </font>
    <font>
      <b/>
      <i/>
      <sz val="11"/>
      <color theme="1"/>
      <name val="Calibri"/>
      <family val="2"/>
      <scheme val="minor"/>
    </font>
    <font>
      <b/>
      <sz val="12"/>
      <color theme="1"/>
      <name val="Calibri"/>
      <family val="2"/>
      <scheme val="minor"/>
    </font>
    <font>
      <b/>
      <sz val="11"/>
      <color theme="0"/>
      <name val="Calibri"/>
      <family val="2"/>
      <scheme val="minor"/>
    </font>
    <font>
      <b/>
      <sz val="14"/>
      <color theme="1"/>
      <name val="Calibri"/>
      <family val="2"/>
      <scheme val="minor"/>
    </font>
    <font>
      <sz val="16"/>
      <color theme="1"/>
      <name val="Calibri"/>
      <family val="2"/>
      <scheme val="minor"/>
    </font>
    <font>
      <b/>
      <sz val="16"/>
      <color theme="1"/>
      <name val="Calibri"/>
      <family val="2"/>
      <scheme val="minor"/>
    </font>
    <font>
      <b/>
      <sz val="9"/>
      <color theme="1"/>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7"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5" tint="0.39997558519241921"/>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s>
  <cellStyleXfs count="1">
    <xf numFmtId="0" fontId="0" fillId="0" borderId="0"/>
  </cellStyleXfs>
  <cellXfs count="62">
    <xf numFmtId="0" fontId="0" fillId="0" borderId="0" xfId="0"/>
    <xf numFmtId="0" fontId="0" fillId="0" borderId="0" xfId="0" applyAlignment="1">
      <alignment vertical="center" wrapText="1"/>
    </xf>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wrapText="1"/>
    </xf>
    <xf numFmtId="0" fontId="2" fillId="0" borderId="0" xfId="0" applyFont="1"/>
    <xf numFmtId="0" fontId="2" fillId="0" borderId="0" xfId="0" applyFont="1" applyAlignment="1">
      <alignment horizontal="center"/>
    </xf>
    <xf numFmtId="0" fontId="4" fillId="2" borderId="0" xfId="0" applyFont="1" applyFill="1" applyAlignment="1">
      <alignment horizontal="center" vertical="center"/>
    </xf>
    <xf numFmtId="0" fontId="0" fillId="0" borderId="0" xfId="0" applyAlignment="1">
      <alignment horizontal="right" vertical="top"/>
    </xf>
    <xf numFmtId="0" fontId="1" fillId="0" borderId="0" xfId="0" applyFont="1"/>
    <xf numFmtId="0" fontId="1" fillId="4" borderId="0" xfId="0" applyFont="1" applyFill="1"/>
    <xf numFmtId="0" fontId="0" fillId="5" borderId="0" xfId="0" applyFill="1"/>
    <xf numFmtId="0" fontId="0" fillId="0" borderId="0" xfId="0" applyAlignment="1">
      <alignment vertical="center"/>
    </xf>
    <xf numFmtId="0" fontId="0" fillId="0" borderId="0" xfId="0" applyAlignment="1">
      <alignment vertical="top"/>
    </xf>
    <xf numFmtId="0" fontId="7" fillId="6" borderId="4" xfId="0" applyFont="1" applyFill="1" applyBorder="1"/>
    <xf numFmtId="0" fontId="7" fillId="6" borderId="5" xfId="0" applyFont="1" applyFill="1" applyBorder="1"/>
    <xf numFmtId="0" fontId="7" fillId="6" borderId="6" xfId="0" applyFont="1" applyFill="1" applyBorder="1"/>
    <xf numFmtId="0" fontId="0" fillId="7" borderId="4" xfId="0" applyFill="1" applyBorder="1" applyAlignment="1">
      <alignment vertical="center" wrapText="1"/>
    </xf>
    <xf numFmtId="0" fontId="0" fillId="7" borderId="5" xfId="0" applyFill="1" applyBorder="1" applyAlignment="1">
      <alignment vertical="center" wrapText="1"/>
    </xf>
    <xf numFmtId="0" fontId="0" fillId="7" borderId="6" xfId="0" applyFill="1"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7" borderId="1" xfId="0" applyFill="1" applyBorder="1" applyAlignment="1">
      <alignment vertical="center" wrapText="1"/>
    </xf>
    <xf numFmtId="0" fontId="0" fillId="7" borderId="3" xfId="0" applyFill="1" applyBorder="1" applyAlignment="1">
      <alignment vertical="center" wrapText="1"/>
    </xf>
    <xf numFmtId="0" fontId="0" fillId="7" borderId="2" xfId="0" applyFill="1" applyBorder="1" applyAlignment="1">
      <alignment vertical="center" wrapText="1"/>
    </xf>
    <xf numFmtId="0" fontId="8" fillId="8" borderId="0" xfId="0" applyFont="1" applyFill="1"/>
    <xf numFmtId="0" fontId="0" fillId="0" borderId="0" xfId="0" applyAlignment="1">
      <alignment wrapText="1"/>
    </xf>
    <xf numFmtId="0" fontId="1" fillId="8" borderId="0" xfId="0" applyFont="1" applyFill="1"/>
    <xf numFmtId="0" fontId="1" fillId="3" borderId="0" xfId="0" applyFont="1" applyFill="1" applyAlignment="1">
      <alignment horizontal="center" wrapText="1"/>
    </xf>
    <xf numFmtId="0" fontId="1" fillId="2" borderId="0" xfId="0" applyFont="1" applyFill="1" applyAlignment="1">
      <alignment horizontal="center" vertical="center" wrapText="1"/>
    </xf>
    <xf numFmtId="0" fontId="8" fillId="5" borderId="0" xfId="0" applyFont="1" applyFill="1" applyAlignment="1">
      <alignment horizontal="left" vertical="center" wrapText="1"/>
    </xf>
    <xf numFmtId="0" fontId="4" fillId="3" borderId="0" xfId="0" applyFont="1" applyFill="1" applyAlignment="1">
      <alignment horizontal="center" vertical="center" wrapText="1"/>
    </xf>
    <xf numFmtId="0" fontId="4" fillId="3" borderId="0" xfId="0" applyFont="1" applyFill="1" applyAlignment="1">
      <alignment horizontal="center" vertical="center"/>
    </xf>
    <xf numFmtId="0" fontId="3"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3" fillId="2" borderId="0" xfId="0" applyFont="1" applyFill="1" applyAlignment="1">
      <alignment horizontal="center" vertical="center"/>
    </xf>
    <xf numFmtId="0" fontId="6"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0" fontId="9" fillId="8" borderId="0" xfId="0" applyFont="1" applyFill="1" applyAlignment="1">
      <alignment horizontal="left" vertical="top" wrapText="1"/>
    </xf>
    <xf numFmtId="0" fontId="6" fillId="3" borderId="0" xfId="0" applyFont="1" applyFill="1" applyAlignment="1">
      <alignment horizontal="center" vertical="center" wrapText="1"/>
    </xf>
    <xf numFmtId="0" fontId="6" fillId="2" borderId="0" xfId="0" applyFont="1" applyFill="1" applyAlignment="1">
      <alignment horizontal="center" vertical="center" wrapText="1"/>
    </xf>
    <xf numFmtId="0" fontId="6" fillId="3" borderId="0" xfId="0" applyFont="1" applyFill="1" applyAlignment="1">
      <alignment horizontal="left" vertical="center" wrapText="1"/>
    </xf>
    <xf numFmtId="0" fontId="6" fillId="3" borderId="7" xfId="0" applyFont="1" applyFill="1" applyBorder="1" applyAlignment="1">
      <alignment horizontal="left" vertical="center" wrapText="1"/>
    </xf>
    <xf numFmtId="0" fontId="6" fillId="9" borderId="0" xfId="0" applyFont="1" applyFill="1" applyAlignment="1">
      <alignment horizontal="center" wrapText="1"/>
    </xf>
    <xf numFmtId="0" fontId="1" fillId="2" borderId="0" xfId="0" applyFont="1" applyFill="1" applyAlignment="1">
      <alignment horizontal="center" vertical="center"/>
    </xf>
    <xf numFmtId="0" fontId="9" fillId="8" borderId="0" xfId="0" applyFont="1" applyFill="1" applyAlignment="1">
      <alignment horizontal="center" vertical="center" wrapText="1"/>
    </xf>
    <xf numFmtId="0" fontId="10" fillId="8" borderId="0" xfId="0" applyFont="1" applyFill="1" applyAlignment="1">
      <alignment horizontal="left" vertical="center" wrapText="1"/>
    </xf>
    <xf numFmtId="0" fontId="6" fillId="3" borderId="0" xfId="0" applyFont="1" applyFill="1" applyAlignment="1">
      <alignment horizontal="center" vertical="center"/>
    </xf>
    <xf numFmtId="0" fontId="11" fillId="2" borderId="0" xfId="0" applyFont="1" applyFill="1" applyAlignment="1">
      <alignment horizontal="center" wrapText="1"/>
    </xf>
    <xf numFmtId="0" fontId="8" fillId="8" borderId="0" xfId="0" applyFont="1" applyFill="1" applyAlignment="1">
      <alignment horizontal="left" vertical="center" wrapText="1"/>
    </xf>
    <xf numFmtId="0" fontId="4" fillId="2" borderId="0" xfId="0" applyFont="1" applyFill="1" applyAlignment="1">
      <alignment horizontal="center" vertical="center" wrapText="1"/>
    </xf>
    <xf numFmtId="0" fontId="1" fillId="8" borderId="0" xfId="0" applyFont="1" applyFill="1" applyAlignment="1">
      <alignment horizontal="left" vertical="center" wrapText="1"/>
    </xf>
    <xf numFmtId="0" fontId="11" fillId="5" borderId="0" xfId="0" applyFont="1" applyFill="1" applyAlignment="1">
      <alignment horizontal="center" vertical="center" wrapText="1"/>
    </xf>
    <xf numFmtId="0" fontId="8" fillId="2" borderId="0" xfId="0" applyFont="1" applyFill="1" applyAlignment="1">
      <alignment horizontal="left" vertical="center" wrapText="1"/>
    </xf>
    <xf numFmtId="0" fontId="1" fillId="2" borderId="0" xfId="0" applyFont="1" applyFill="1" applyAlignment="1">
      <alignment horizontal="center" wrapText="1"/>
    </xf>
    <xf numFmtId="0" fontId="1" fillId="2" borderId="0" xfId="0" applyFont="1" applyFill="1" applyAlignment="1">
      <alignment horizontal="center"/>
    </xf>
    <xf numFmtId="0" fontId="10" fillId="5" borderId="0" xfId="0" applyFont="1" applyFill="1" applyAlignment="1">
      <alignment horizontal="left" vertical="center" wrapText="1"/>
    </xf>
    <xf numFmtId="0" fontId="1" fillId="5" borderId="0" xfId="0" applyFont="1" applyFill="1" applyAlignment="1">
      <alignment horizontal="left" vertical="center" wrapText="1"/>
    </xf>
    <xf numFmtId="0" fontId="0" fillId="8" borderId="0" xfId="0" applyFill="1"/>
  </cellXfs>
  <cellStyles count="1">
    <cellStyle name="Normal" xfId="0" builtinId="0"/>
  </cellStyles>
  <dxfs count="7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bgColor theme="7" tint="0.79998168889431442"/>
        </patternFill>
      </fill>
    </dxf>
    <dxf>
      <fill>
        <patternFill>
          <bgColor theme="7" tint="0.79998168889431442"/>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fill>
        <patternFill patternType="solid">
          <fgColor indexed="64"/>
          <bgColor theme="9" tint="0.59999389629810485"/>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EDA_1!$K$2</c:f>
              <c:strCache>
                <c:ptCount val="1"/>
                <c:pt idx="0">
                  <c:v> number_of_time_hosted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EDA_1!$J$3:$J$44</c:f>
              <c:strCache>
                <c:ptCount val="42"/>
                <c:pt idx="0">
                  <c:v>London</c:v>
                </c:pt>
                <c:pt idx="1">
                  <c:v>Athina</c:v>
                </c:pt>
                <c:pt idx="2">
                  <c:v>Lake Placid</c:v>
                </c:pt>
                <c:pt idx="3">
                  <c:v>Los Angeles</c:v>
                </c:pt>
                <c:pt idx="4">
                  <c:v>Paris</c:v>
                </c:pt>
                <c:pt idx="5">
                  <c:v>Innsbruck</c:v>
                </c:pt>
                <c:pt idx="6">
                  <c:v>Stockholm</c:v>
                </c:pt>
                <c:pt idx="7">
                  <c:v>Sankt Moritz</c:v>
                </c:pt>
                <c:pt idx="8">
                  <c:v>Calgary</c:v>
                </c:pt>
                <c:pt idx="9">
                  <c:v>Barcelona</c:v>
                </c:pt>
                <c:pt idx="10">
                  <c:v>Lillehammer</c:v>
                </c:pt>
                <c:pt idx="11">
                  <c:v>Salt Lake City</c:v>
                </c:pt>
                <c:pt idx="12">
                  <c:v>Helsinki</c:v>
                </c:pt>
                <c:pt idx="13">
                  <c:v>Albertville</c:v>
                </c:pt>
                <c:pt idx="14">
                  <c:v>Sydney</c:v>
                </c:pt>
                <c:pt idx="15">
                  <c:v>Atlanta</c:v>
                </c:pt>
                <c:pt idx="16">
                  <c:v>Sochi</c:v>
                </c:pt>
                <c:pt idx="17">
                  <c:v>Nagano</c:v>
                </c:pt>
                <c:pt idx="18">
                  <c:v>Beijing</c:v>
                </c:pt>
                <c:pt idx="19">
                  <c:v>Rio de Janeiro</c:v>
                </c:pt>
                <c:pt idx="20">
                  <c:v>Squaw Valley</c:v>
                </c:pt>
                <c:pt idx="21">
                  <c:v>Torino</c:v>
                </c:pt>
                <c:pt idx="22">
                  <c:v>Sarajevo</c:v>
                </c:pt>
                <c:pt idx="23">
                  <c:v>Mexico City</c:v>
                </c:pt>
                <c:pt idx="24">
                  <c:v>Munich</c:v>
                </c:pt>
                <c:pt idx="25">
                  <c:v>Seoul</c:v>
                </c:pt>
                <c:pt idx="26">
                  <c:v>Berlin</c:v>
                </c:pt>
                <c:pt idx="27">
                  <c:v>Oslo</c:v>
                </c:pt>
                <c:pt idx="28">
                  <c:v>Cortina d'Ampezzo</c:v>
                </c:pt>
                <c:pt idx="29">
                  <c:v>Melbourne</c:v>
                </c:pt>
                <c:pt idx="30">
                  <c:v>Roma</c:v>
                </c:pt>
                <c:pt idx="31">
                  <c:v>Amsterdam</c:v>
                </c:pt>
                <c:pt idx="32">
                  <c:v>Montreal</c:v>
                </c:pt>
                <c:pt idx="33">
                  <c:v>Moskva</c:v>
                </c:pt>
                <c:pt idx="34">
                  <c:v>Tokyo</c:v>
                </c:pt>
                <c:pt idx="35">
                  <c:v>Vancouver</c:v>
                </c:pt>
                <c:pt idx="36">
                  <c:v>Grenoble</c:v>
                </c:pt>
                <c:pt idx="37">
                  <c:v>Sapporo</c:v>
                </c:pt>
                <c:pt idx="38">
                  <c:v>Chamonix</c:v>
                </c:pt>
                <c:pt idx="39">
                  <c:v>St. Louis</c:v>
                </c:pt>
                <c:pt idx="40">
                  <c:v>Antwerpen</c:v>
                </c:pt>
                <c:pt idx="41">
                  <c:v>Garmisch-Partenkirchen</c:v>
                </c:pt>
              </c:strCache>
            </c:strRef>
          </c:cat>
          <c:val>
            <c:numRef>
              <c:f>EDA_1!$K$3:$K$44</c:f>
              <c:numCache>
                <c:formatCode>General</c:formatCode>
                <c:ptCount val="42"/>
                <c:pt idx="0">
                  <c:v>3</c:v>
                </c:pt>
                <c:pt idx="1">
                  <c:v>3</c:v>
                </c:pt>
                <c:pt idx="2">
                  <c:v>2</c:v>
                </c:pt>
                <c:pt idx="3">
                  <c:v>2</c:v>
                </c:pt>
                <c:pt idx="4">
                  <c:v>2</c:v>
                </c:pt>
                <c:pt idx="5">
                  <c:v>2</c:v>
                </c:pt>
                <c:pt idx="6">
                  <c:v>2</c:v>
                </c:pt>
                <c:pt idx="7">
                  <c:v>2</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numCache>
            </c:numRef>
          </c:val>
          <c:extLst>
            <c:ext xmlns:c16="http://schemas.microsoft.com/office/drawing/2014/chart" uri="{C3380CC4-5D6E-409C-BE32-E72D297353CC}">
              <c16:uniqueId val="{00000000-42CC-4168-81D2-9CBCC573079C}"/>
            </c:ext>
          </c:extLst>
        </c:ser>
        <c:dLbls>
          <c:showLegendKey val="0"/>
          <c:showVal val="0"/>
          <c:showCatName val="0"/>
          <c:showSerName val="0"/>
          <c:showPercent val="0"/>
          <c:showBubbleSize val="0"/>
        </c:dLbls>
        <c:gapWidth val="315"/>
        <c:overlap val="-40"/>
        <c:axId val="1228487407"/>
        <c:axId val="1228474447"/>
      </c:barChart>
      <c:catAx>
        <c:axId val="12284874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8474447"/>
        <c:crosses val="autoZero"/>
        <c:auto val="1"/>
        <c:lblAlgn val="ctr"/>
        <c:lblOffset val="100"/>
        <c:tickLblSkip val="1"/>
        <c:noMultiLvlLbl val="0"/>
      </c:catAx>
      <c:valAx>
        <c:axId val="1228474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848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EDA_2!$P$2</c:f>
              <c:strCache>
                <c:ptCount val="1"/>
                <c:pt idx="0">
                  <c:v>olympic_duration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EDA_2!$O$3:$O$5</c:f>
              <c:strCache>
                <c:ptCount val="3"/>
                <c:pt idx="0">
                  <c:v>1896-1920</c:v>
                </c:pt>
                <c:pt idx="1">
                  <c:v>1924-1992</c:v>
                </c:pt>
                <c:pt idx="2">
                  <c:v>1994-2016</c:v>
                </c:pt>
              </c:strCache>
            </c:strRef>
          </c:cat>
          <c:val>
            <c:numRef>
              <c:f>EDA_2!$P$3:$P$5</c:f>
              <c:numCache>
                <c:formatCode>General</c:formatCode>
                <c:ptCount val="3"/>
                <c:pt idx="0">
                  <c:v>1</c:v>
                </c:pt>
                <c:pt idx="1">
                  <c:v>2</c:v>
                </c:pt>
                <c:pt idx="2">
                  <c:v>1</c:v>
                </c:pt>
              </c:numCache>
            </c:numRef>
          </c:val>
          <c:extLst>
            <c:ext xmlns:c16="http://schemas.microsoft.com/office/drawing/2014/chart" uri="{C3380CC4-5D6E-409C-BE32-E72D297353CC}">
              <c16:uniqueId val="{00000000-1885-48BA-B69F-C4357D56F64F}"/>
            </c:ext>
          </c:extLst>
        </c:ser>
        <c:dLbls>
          <c:showLegendKey val="0"/>
          <c:showVal val="0"/>
          <c:showCatName val="0"/>
          <c:showSerName val="0"/>
          <c:showPercent val="0"/>
          <c:showBubbleSize val="0"/>
        </c:dLbls>
        <c:gapWidth val="115"/>
        <c:overlap val="-20"/>
        <c:axId val="1692597295"/>
        <c:axId val="1692597775"/>
      </c:barChart>
      <c:catAx>
        <c:axId val="1692597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2597775"/>
        <c:crosses val="autoZero"/>
        <c:auto val="1"/>
        <c:lblAlgn val="ctr"/>
        <c:lblOffset val="100"/>
        <c:noMultiLvlLbl val="0"/>
      </c:catAx>
      <c:valAx>
        <c:axId val="16925977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259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Height</a:t>
            </a:r>
            <a:r>
              <a:rPr lang="en-IN" baseline="0"/>
              <a:t> Vs Weight Trend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EDA_10!$L$2</c:f>
              <c:strCache>
                <c:ptCount val="1"/>
                <c:pt idx="0">
                  <c:v> avg_height</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numRef>
              <c:f>EDA_10!$K$3:$K$37</c:f>
              <c:numCache>
                <c:formatCode>General</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EDA_10!$L$3:$L$37</c:f>
              <c:numCache>
                <c:formatCode>General</c:formatCode>
                <c:ptCount val="35"/>
                <c:pt idx="0">
                  <c:v>29.055599999999998</c:v>
                </c:pt>
                <c:pt idx="1">
                  <c:v>14.040900000000001</c:v>
                </c:pt>
                <c:pt idx="2">
                  <c:v>29.058499999999999</c:v>
                </c:pt>
                <c:pt idx="3">
                  <c:v>39.887500000000003</c:v>
                </c:pt>
                <c:pt idx="4">
                  <c:v>26.4526</c:v>
                </c:pt>
                <c:pt idx="5">
                  <c:v>27.494399999999999</c:v>
                </c:pt>
                <c:pt idx="6">
                  <c:v>35.496499999999997</c:v>
                </c:pt>
                <c:pt idx="7">
                  <c:v>38.219799999999999</c:v>
                </c:pt>
                <c:pt idx="8">
                  <c:v>38.850999999999999</c:v>
                </c:pt>
                <c:pt idx="9">
                  <c:v>68.747100000000003</c:v>
                </c:pt>
                <c:pt idx="10">
                  <c:v>30.439399999999999</c:v>
                </c:pt>
                <c:pt idx="11">
                  <c:v>33.546199999999999</c:v>
                </c:pt>
                <c:pt idx="12">
                  <c:v>43.98</c:v>
                </c:pt>
                <c:pt idx="13">
                  <c:v>79.492999999999995</c:v>
                </c:pt>
                <c:pt idx="14">
                  <c:v>160.31989999999999</c:v>
                </c:pt>
                <c:pt idx="15">
                  <c:v>162.8673</c:v>
                </c:pt>
                <c:pt idx="16">
                  <c:v>172.7311</c:v>
                </c:pt>
                <c:pt idx="17">
                  <c:v>172.559</c:v>
                </c:pt>
                <c:pt idx="18">
                  <c:v>164.71080000000001</c:v>
                </c:pt>
                <c:pt idx="19">
                  <c:v>167.3629</c:v>
                </c:pt>
                <c:pt idx="20">
                  <c:v>168.87719999999999</c:v>
                </c:pt>
                <c:pt idx="21">
                  <c:v>167.17850000000001</c:v>
                </c:pt>
                <c:pt idx="22">
                  <c:v>143.3956</c:v>
                </c:pt>
                <c:pt idx="23">
                  <c:v>165.24119999999999</c:v>
                </c:pt>
                <c:pt idx="24">
                  <c:v>153.45339999999999</c:v>
                </c:pt>
                <c:pt idx="25">
                  <c:v>171.1789</c:v>
                </c:pt>
                <c:pt idx="26">
                  <c:v>175.2902</c:v>
                </c:pt>
                <c:pt idx="27">
                  <c:v>173.91650000000001</c:v>
                </c:pt>
                <c:pt idx="28">
                  <c:v>176.4966</c:v>
                </c:pt>
                <c:pt idx="29">
                  <c:v>174.74770000000001</c:v>
                </c:pt>
                <c:pt idx="30">
                  <c:v>174.83949999999999</c:v>
                </c:pt>
                <c:pt idx="31">
                  <c:v>175.26740000000001</c:v>
                </c:pt>
                <c:pt idx="32">
                  <c:v>174.43209999999999</c:v>
                </c:pt>
                <c:pt idx="33">
                  <c:v>174.42250000000001</c:v>
                </c:pt>
                <c:pt idx="34">
                  <c:v>174.06819999999999</c:v>
                </c:pt>
              </c:numCache>
            </c:numRef>
          </c:val>
          <c:smooth val="0"/>
          <c:extLst>
            <c:ext xmlns:c16="http://schemas.microsoft.com/office/drawing/2014/chart" uri="{C3380CC4-5D6E-409C-BE32-E72D297353CC}">
              <c16:uniqueId val="{00000000-BCAB-47EC-A8A0-563884931B6B}"/>
            </c:ext>
          </c:extLst>
        </c:ser>
        <c:ser>
          <c:idx val="1"/>
          <c:order val="1"/>
          <c:tx>
            <c:strRef>
              <c:f>EDA_10!$M$2</c:f>
              <c:strCache>
                <c:ptCount val="1"/>
                <c:pt idx="0">
                  <c:v> avg_weight</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numRef>
              <c:f>EDA_10!$K$3:$K$37</c:f>
              <c:numCache>
                <c:formatCode>General</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EDA_10!$M$3:$M$37</c:f>
              <c:numCache>
                <c:formatCode>General</c:formatCode>
                <c:ptCount val="35"/>
                <c:pt idx="0">
                  <c:v>11.541700000000001</c:v>
                </c:pt>
                <c:pt idx="1">
                  <c:v>4.3947000000000003</c:v>
                </c:pt>
                <c:pt idx="2">
                  <c:v>9.3609000000000009</c:v>
                </c:pt>
                <c:pt idx="3">
                  <c:v>14.736599999999999</c:v>
                </c:pt>
                <c:pt idx="4">
                  <c:v>12.8149</c:v>
                </c:pt>
                <c:pt idx="5">
                  <c:v>10.541600000000001</c:v>
                </c:pt>
                <c:pt idx="6">
                  <c:v>10.7258</c:v>
                </c:pt>
                <c:pt idx="7">
                  <c:v>11.950200000000001</c:v>
                </c:pt>
                <c:pt idx="8">
                  <c:v>12.4053</c:v>
                </c:pt>
                <c:pt idx="9">
                  <c:v>13.4039</c:v>
                </c:pt>
                <c:pt idx="10">
                  <c:v>10.904500000000001</c:v>
                </c:pt>
                <c:pt idx="11">
                  <c:v>13.773</c:v>
                </c:pt>
                <c:pt idx="12">
                  <c:v>18.3368</c:v>
                </c:pt>
                <c:pt idx="13">
                  <c:v>32.997</c:v>
                </c:pt>
                <c:pt idx="14">
                  <c:v>64.878799999999998</c:v>
                </c:pt>
                <c:pt idx="15">
                  <c:v>66.579099999999997</c:v>
                </c:pt>
                <c:pt idx="16">
                  <c:v>70.698700000000002</c:v>
                </c:pt>
                <c:pt idx="17">
                  <c:v>70.394400000000005</c:v>
                </c:pt>
                <c:pt idx="18">
                  <c:v>67.599599999999995</c:v>
                </c:pt>
                <c:pt idx="19">
                  <c:v>68.998999999999995</c:v>
                </c:pt>
                <c:pt idx="20">
                  <c:v>68.885599999999997</c:v>
                </c:pt>
                <c:pt idx="21">
                  <c:v>68.684399999999997</c:v>
                </c:pt>
                <c:pt idx="22">
                  <c:v>59.316800000000001</c:v>
                </c:pt>
                <c:pt idx="23">
                  <c:v>68.525099999999995</c:v>
                </c:pt>
                <c:pt idx="24">
                  <c:v>63.450800000000001</c:v>
                </c:pt>
                <c:pt idx="25">
                  <c:v>70.993099999999998</c:v>
                </c:pt>
                <c:pt idx="26">
                  <c:v>71.796099999999996</c:v>
                </c:pt>
                <c:pt idx="27">
                  <c:v>72.124799999999993</c:v>
                </c:pt>
                <c:pt idx="28">
                  <c:v>72.481700000000004</c:v>
                </c:pt>
                <c:pt idx="29">
                  <c:v>71.922600000000003</c:v>
                </c:pt>
                <c:pt idx="30">
                  <c:v>71.653400000000005</c:v>
                </c:pt>
                <c:pt idx="31">
                  <c:v>72.003200000000007</c:v>
                </c:pt>
                <c:pt idx="32">
                  <c:v>70.356700000000004</c:v>
                </c:pt>
                <c:pt idx="33">
                  <c:v>68.695599999999999</c:v>
                </c:pt>
                <c:pt idx="34">
                  <c:v>70.617900000000006</c:v>
                </c:pt>
              </c:numCache>
            </c:numRef>
          </c:val>
          <c:smooth val="0"/>
          <c:extLst>
            <c:ext xmlns:c16="http://schemas.microsoft.com/office/drawing/2014/chart" uri="{C3380CC4-5D6E-409C-BE32-E72D297353CC}">
              <c16:uniqueId val="{00000001-BCAB-47EC-A8A0-563884931B6B}"/>
            </c:ext>
          </c:extLst>
        </c:ser>
        <c:dLbls>
          <c:showLegendKey val="0"/>
          <c:showVal val="0"/>
          <c:showCatName val="0"/>
          <c:showSerName val="0"/>
          <c:showPercent val="0"/>
          <c:showBubbleSize val="0"/>
        </c:dLbls>
        <c:smooth val="0"/>
        <c:axId val="386971535"/>
        <c:axId val="386972975"/>
      </c:lineChart>
      <c:catAx>
        <c:axId val="38697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72975"/>
        <c:crosses val="autoZero"/>
        <c:auto val="1"/>
        <c:lblAlgn val="ctr"/>
        <c:lblOffset val="100"/>
        <c:noMultiLvlLbl val="0"/>
      </c:catAx>
      <c:valAx>
        <c:axId val="38697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71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NotableEvents  And Participants Count</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Top 10 NotableEvents  And Participants Count</a:t>
          </a:r>
        </a:p>
      </cx:txPr>
    </cx:title>
    <cx:plotArea>
      <cx:plotAreaRegion>
        <cx:series layoutId="funnel" uniqueId="{444D63DB-5FD4-4058-B7EB-41C70F9A96F4}">
          <cx:tx>
            <cx:txData>
              <cx:f>_xlchart.v2.1</cx:f>
              <cx:v> no_of_participant</cx:v>
            </cx:txData>
          </cx:tx>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5353</a:t>
                  </a:r>
                </a:p>
              </cx:txPr>
            </cx:dataLabel>
          </cx:dataLabels>
          <cx:dataId val="0"/>
        </cx:series>
      </cx:plotAreaRegion>
      <cx:axis id="0">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boxWhisker" uniqueId="{C8D032E5-FCDF-4646-BB40-664B3DF55652}">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600074</xdr:colOff>
      <xdr:row>9</xdr:row>
      <xdr:rowOff>139700</xdr:rowOff>
    </xdr:from>
    <xdr:to>
      <xdr:col>8</xdr:col>
      <xdr:colOff>12699</xdr:colOff>
      <xdr:row>23</xdr:row>
      <xdr:rowOff>44450</xdr:rowOff>
    </xdr:to>
    <xdr:graphicFrame macro="">
      <xdr:nvGraphicFramePr>
        <xdr:cNvPr id="6" name="Chart 5">
          <a:extLst>
            <a:ext uri="{FF2B5EF4-FFF2-40B4-BE49-F238E27FC236}">
              <a16:creationId xmlns:a16="http://schemas.microsoft.com/office/drawing/2014/main" id="{421B3D8B-C8C1-99F6-02DB-9AD3AC5E1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600074</xdr:colOff>
      <xdr:row>11</xdr:row>
      <xdr:rowOff>25400</xdr:rowOff>
    </xdr:from>
    <xdr:to>
      <xdr:col>9</xdr:col>
      <xdr:colOff>6349</xdr:colOff>
      <xdr:row>26</xdr:row>
      <xdr:rowOff>6350</xdr:rowOff>
    </xdr:to>
    <xdr:graphicFrame macro="">
      <xdr:nvGraphicFramePr>
        <xdr:cNvPr id="2" name="Chart 1">
          <a:extLst>
            <a:ext uri="{FF2B5EF4-FFF2-40B4-BE49-F238E27FC236}">
              <a16:creationId xmlns:a16="http://schemas.microsoft.com/office/drawing/2014/main" id="{742C173B-E693-0C04-DF58-B7632AEB4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581024</xdr:colOff>
      <xdr:row>14</xdr:row>
      <xdr:rowOff>171450</xdr:rowOff>
    </xdr:from>
    <xdr:to>
      <xdr:col>8</xdr:col>
      <xdr:colOff>457199</xdr:colOff>
      <xdr:row>35</xdr:row>
      <xdr:rowOff>146050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EDE0B9A-D8F9-F3A2-E6D9-A67F37135C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024" y="3289300"/>
              <a:ext cx="4752975" cy="3841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127000</xdr:colOff>
      <xdr:row>19</xdr:row>
      <xdr:rowOff>101600</xdr:rowOff>
    </xdr:from>
    <xdr:to>
      <xdr:col>9</xdr:col>
      <xdr:colOff>546100</xdr:colOff>
      <xdr:row>38</xdr:row>
      <xdr:rowOff>88900</xdr:rowOff>
    </xdr:to>
    <xdr:graphicFrame macro="">
      <xdr:nvGraphicFramePr>
        <xdr:cNvPr id="2" name="Chart 1">
          <a:extLst>
            <a:ext uri="{FF2B5EF4-FFF2-40B4-BE49-F238E27FC236}">
              <a16:creationId xmlns:a16="http://schemas.microsoft.com/office/drawing/2014/main" id="{5467EC22-123A-1ACB-7201-4C5735299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460374</xdr:colOff>
      <xdr:row>20</xdr:row>
      <xdr:rowOff>69850</xdr:rowOff>
    </xdr:from>
    <xdr:to>
      <xdr:col>9</xdr:col>
      <xdr:colOff>285750</xdr:colOff>
      <xdr:row>79</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2A76CFF-F5C7-4E54-80EF-380E98688D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374" y="3752850"/>
              <a:ext cx="5311776" cy="1087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1EBA79-3643-4D12-991B-7C3793AB982C}" name="Table1" displayName="Table1" ref="J2:K44" totalsRowShown="0" headerRowDxfId="71" dataDxfId="70">
  <autoFilter ref="J2:K44" xr:uid="{911EBA79-3643-4D12-991B-7C3793AB982C}"/>
  <tableColumns count="2">
    <tableColumn id="1" xr3:uid="{80181D9B-EC14-47B8-A748-6516FFAAFC87}" name="city_name" dataDxfId="69"/>
    <tableColumn id="2" xr3:uid="{C593AA45-507E-4018-B791-9C39B643C703}" name=" number_of_time_hosted" dataDxfId="6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FC7FFF-54B3-47E6-8FDE-7A452A929EF1}" name="Table2" displayName="Table2" ref="K2:M37" totalsRowShown="0" headerRowDxfId="67">
  <autoFilter ref="K2:M37" xr:uid="{D5FC7FFF-54B3-47E6-8FDE-7A452A929EF1}"/>
  <tableColumns count="3">
    <tableColumn id="1" xr3:uid="{60AC5EA1-652E-4CC1-B5C1-B0A9B2881CC4}" name="games_year" dataDxfId="66"/>
    <tableColumn id="2" xr3:uid="{9CD68102-040A-461D-AB6D-1444FCA8B5CA}" name=" olympic_duration" dataDxfId="65"/>
    <tableColumn id="3" xr3:uid="{5D2539A9-2884-4FEA-A935-E2F527AB94E4}" name="Column1" dataDxfId="64"/>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8F21D9-06CA-4584-BE0B-DF980FF0FF35}" name="Table3" displayName="Table3" ref="O2:P5" totalsRowShown="0" headerRowDxfId="63">
  <autoFilter ref="O2:P5" xr:uid="{9D8F21D9-06CA-4584-BE0B-DF980FF0FF35}"/>
  <tableColumns count="2">
    <tableColumn id="1" xr3:uid="{C21316C5-E3C3-4EA3-91A3-CF346729E520}" name="year_range"/>
    <tableColumn id="2" xr3:uid="{098912D0-DA2A-48D6-9E3C-265A98E70B0E}" name="olympic_duratio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D22992-239F-41C5-A6DC-36174B94D014}" name="Table4" displayName="Table4" ref="J2:K12" totalsRowShown="0" dataDxfId="62">
  <autoFilter ref="J2:K12" xr:uid="{9ED22992-239F-41C5-A6DC-36174B94D014}"/>
  <tableColumns count="2">
    <tableColumn id="1" xr3:uid="{26B9299D-2E2E-4751-B280-893CF10F87BE}" name="event_name" dataDxfId="61"/>
    <tableColumn id="2" xr3:uid="{03F2B0D4-818A-4687-A8A7-F25A8A52FD02}" name=" no_of_participant" dataDxfId="6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277F0D-C31C-4135-8B62-1F44DAA95F79}" name="Table5" displayName="Table5" ref="M2:O68" totalsRowShown="0" dataDxfId="59">
  <autoFilter ref="M2:O68" xr:uid="{26277F0D-C31C-4135-8B62-1F44DAA95F79}"/>
  <tableColumns count="3">
    <tableColumn id="1" xr3:uid="{5434C3E7-5B93-47AD-9A9E-8172D76578AC}" name="sport_name" dataDxfId="58"/>
    <tableColumn id="2" xr3:uid="{20417BF6-6B8F-4FE1-A9D0-8438765204CF}" name=" year_of_introduce" dataDxfId="57"/>
    <tableColumn id="3" xr3:uid="{1779628F-AAE0-45D6-B440-17FFE280BF9E}" name=" participants_per_sport" dataDxfId="56"/>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30A74C-7B49-4FCE-ABAC-E20B8E1779FD}" name="Table8" displayName="Table8" ref="J2:K50" totalsRowShown="0" dataDxfId="55">
  <autoFilter ref="J2:K50" xr:uid="{6A30A74C-7B49-4FCE-ABAC-E20B8E1779FD}"/>
  <tableColumns count="2">
    <tableColumn id="1" xr3:uid="{5E0E2F2D-E435-4542-BDBC-136184B9D31C}" name="sport_name" dataDxfId="54"/>
    <tableColumn id="2" xr3:uid="{30F6F3B2-E37F-438E-9081-DE97AF7B5E0D}" name="participants(1896-1956)" dataDxfId="5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15C93E-6934-4564-BF83-A7254A285598}" name="Table9" displayName="Table9" ref="M2:N53" totalsRowShown="0" dataDxfId="52">
  <autoFilter ref="M2:N53" xr:uid="{2E15C93E-6934-4564-BF83-A7254A285598}"/>
  <tableColumns count="2">
    <tableColumn id="1" xr3:uid="{B870CA69-8187-447A-9B95-EBED5B7B126C}" name="sport_name" dataDxfId="51"/>
    <tableColumn id="2" xr3:uid="{99101F1F-E2E9-4DF3-B5AF-F1FEA11288CE}" name="participants(1957-2016)" dataDxfId="5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E105385-1B5C-4422-B472-B708BD412562}" name="Table6" displayName="Table6" ref="J2:L7" totalsRowShown="0" dataDxfId="49">
  <autoFilter ref="J2:L7" xr:uid="{4E105385-1B5C-4422-B472-B708BD412562}"/>
  <tableColumns count="3">
    <tableColumn id="1" xr3:uid="{E923E3A9-4A1A-410F-9B1D-4A62CF2F5975}" name="region_name" dataDxfId="48"/>
    <tableColumn id="2" xr3:uid="{DC47940E-460E-4456-A784-A2135962778D}" name=" sport_name" dataDxfId="47"/>
    <tableColumn id="3" xr3:uid="{9462D5E5-0810-41A3-9D6C-0F3BE88EE16F}" name=" distinct_sport_count" dataDxfId="4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FB8DC1-1516-4D09-AB57-9D59AF985BDE}" name="Table7" displayName="Table7" ref="K2:L7" totalsRowShown="0" dataDxfId="45">
  <autoFilter ref="K2:L7" xr:uid="{34FB8DC1-1516-4D09-AB57-9D59AF985BDE}"/>
  <tableColumns count="2">
    <tableColumn id="1" xr3:uid="{E2255718-E8AC-47E9-B190-A360A0785AB7}" name="event_name" dataDxfId="44"/>
    <tableColumn id="2" xr3:uid="{9A1A1C58-D573-4060-B069-93056843CC76}" name=" first_year" dataDxfId="4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E12E53-DC55-4F51-A7A2-712C546B65D7}" name="Table10" displayName="Table10" ref="K2:M37" totalsRowShown="0" headerRowDxfId="42" dataDxfId="41">
  <autoFilter ref="K2:M37" xr:uid="{E9E12E53-DC55-4F51-A7A2-712C546B65D7}"/>
  <tableColumns count="3">
    <tableColumn id="1" xr3:uid="{A168AA56-3D25-4FA3-95AD-E69FC99A8C74}" name="games_year" dataDxfId="40"/>
    <tableColumn id="2" xr3:uid="{BC8D3242-B086-4987-8D23-514BE7FBD97E}" name=" avg_height" dataDxfId="39"/>
    <tableColumn id="3" xr3:uid="{C4E7C3B7-7530-4708-9011-E3C7BE876CE3}" name=" avg_weight" dataDxfId="38"/>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35CB4F-7565-4BA3-8C80-522DB1D45364}" name="Table11" displayName="Table11" ref="K2:N12" totalsRowShown="0" dataDxfId="37">
  <autoFilter ref="K2:N12" xr:uid="{0A35CB4F-7565-4BA3-8C80-522DB1D45364}"/>
  <tableColumns count="4">
    <tableColumn id="1" xr3:uid="{7735315E-2DDC-47A3-A278-32D903FC05F6}" name="region_name" dataDxfId="36"/>
    <tableColumn id="2" xr3:uid="{40012D0D-7F85-478D-A90D-00721CCC62A3}" name=" event_name" dataDxfId="35"/>
    <tableColumn id="3" xr3:uid="{775DFB89-4BE0-4BC0-9008-45F6CC421F39}" name=" sport_name" dataDxfId="34"/>
    <tableColumn id="4" xr3:uid="{DD72D68A-3F8E-43D1-9B47-595B4D02F341}" name=" medal_count" dataDxfId="3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E77746-2AA4-4805-A5F4-82D7D51682C7}" name="Table12" displayName="Table12" ref="J2:O230" totalsRowShown="0" dataDxfId="78">
  <autoFilter ref="J2:O230" xr:uid="{07E77746-2AA4-4805-A5F4-82D7D51682C7}"/>
  <tableColumns count="6">
    <tableColumn id="1" xr3:uid="{072F6290-FBDF-4C79-BF93-9B713AA15DFF}" name="region_name" dataDxfId="77"/>
    <tableColumn id="2" xr3:uid="{1ACB264E-DC26-43E8-A6C7-9526C589A81F}" name=" total_participants" dataDxfId="76"/>
    <tableColumn id="3" xr3:uid="{2C772238-4A9A-40B2-AAD1-CB6769C8E3B7}" name=" sports_count" dataDxfId="75"/>
    <tableColumn id="4" xr3:uid="{0FE0B263-BE91-42AD-866B-B7B74BE12D2C}" name=" medal_count" dataDxfId="74"/>
    <tableColumn id="5" xr3:uid="{796022F6-1569-482A-BFCB-56714BB721F5}" name=" avg_height" dataDxfId="73"/>
    <tableColumn id="6" xr3:uid="{BEBAC6B5-F178-489B-B116-BB4F8B90D73F}" name=" avg_weight" dataDxfId="7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AA7FB12-D9DA-4C06-B7F5-D8E4D697C04E}" name="Table13" displayName="Table13" ref="K2:N52" totalsRowShown="0" dataDxfId="28">
  <autoFilter ref="K2:N52" xr:uid="{3AA7FB12-D9DA-4C06-B7F5-D8E4D697C04E}"/>
  <tableColumns count="4">
    <tableColumn id="1" xr3:uid="{1484BF8C-F169-4370-821A-1829992709EF}" name="region_name" dataDxfId="32"/>
    <tableColumn id="2" xr3:uid="{0B33CA21-6BFA-4318-B79D-3E9D88F8202A}" name=" games_year" dataDxfId="31"/>
    <tableColumn id="3" xr3:uid="{E9DC048A-9818-4D99-90BA-68E40FE467FB}" name=" participant_count" dataDxfId="30"/>
    <tableColumn id="4" xr3:uid="{7A69B840-8AC7-4D9C-B0B6-DC79FED41DEA}" name=" medal_count" dataDxfId="2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73E07E7-0E44-4E31-92DE-6FCF8BF927AF}" name="Table14" displayName="Table14" ref="K2:N12" totalsRowShown="0" dataDxfId="23">
  <autoFilter ref="K2:N12" xr:uid="{373E07E7-0E44-4E31-92DE-6FCF8BF927AF}"/>
  <tableColumns count="4">
    <tableColumn id="1" xr3:uid="{40020D38-4EDF-417B-843B-16F1AE625B27}" name="sport_name" dataDxfId="27"/>
    <tableColumn id="2" xr3:uid="{4BAAEC72-D009-4A97-A340-41BAFC1E696F}" name=" event_name" dataDxfId="26"/>
    <tableColumn id="3" xr3:uid="{A0F8E4FC-E0D6-4D0D-8632-98306DE5392A}" name=" region_name" dataDxfId="25"/>
    <tableColumn id="4" xr3:uid="{43DCBD50-5811-48F4-89A4-F0B045E605BC}" name=" medal_count" dataDxfId="2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AE0370-68B6-494F-8EA8-096D3977B962}" name="Table16" displayName="Table16" ref="K2:M230" totalsRowShown="0" dataDxfId="19">
  <autoFilter ref="K2:M230" xr:uid="{1DAE0370-68B6-494F-8EA8-096D3977B962}"/>
  <tableColumns count="3">
    <tableColumn id="1" xr3:uid="{2062805E-C3AC-480B-BA37-A0ED2D2264FF}" name="region_name" dataDxfId="22"/>
    <tableColumn id="2" xr3:uid="{2488F7B1-38D8-455C-A45E-BD53378C85B1}" name=" game_yr" dataDxfId="21"/>
    <tableColumn id="3" xr3:uid="{0E3A0ABB-E927-44AF-96E8-2F3E2BA290C3}" name=" medal_count" dataDxfId="2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23586E-BBDF-4440-ACF7-04E4BE994DC2}" name="Table18" displayName="Table18" ref="J2:N7" totalsRowShown="0" dataDxfId="13">
  <autoFilter ref="J2:N7" xr:uid="{0023586E-BBDF-4440-ACF7-04E4BE994DC2}"/>
  <tableColumns count="5">
    <tableColumn id="1" xr3:uid="{AFDDAACA-49E5-47E2-8D3F-0A11165723DA}" name="country" dataDxfId="18"/>
    <tableColumn id="2" xr3:uid="{17B3FFC4-8804-4B8D-A9C7-E7BF8191A478}" name=" oly_year" dataDxfId="17"/>
    <tableColumn id="3" xr3:uid="{8835B2E0-B675-44B3-AE66-A0EDBAD0402A}" name=" current_year_athlete" dataDxfId="16"/>
    <tableColumn id="4" xr3:uid="{C869226B-6DEB-4B76-A34E-E195842FB53E}" name=" prev_year_athlete" dataDxfId="15"/>
    <tableColumn id="5" xr3:uid="{C8A5C1DB-AAC8-4928-A6C2-839991824773}" name=" athlete_diff" dataDxfId="1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0467527-1AA8-4167-B72C-0CC571DEC7A5}" name="Table20" displayName="Table20" ref="J2:P12" totalsRowShown="0" dataDxfId="5">
  <autoFilter ref="J2:P12" xr:uid="{90467527-1AA8-4167-B72C-0CC571DEC7A5}"/>
  <tableColumns count="7">
    <tableColumn id="1" xr3:uid="{F78C4546-3193-4BF6-BB4A-7BEF15C3041F}" name="region_name" dataDxfId="12"/>
    <tableColumn id="2" xr3:uid="{4DF1F351-310A-4F55-A748-B7F2B39E479E}" name=" sport_name" dataDxfId="11"/>
    <tableColumn id="3" xr3:uid="{1CCEF360-BB15-4A32-8944-444CE8036BA6}" name=" total_participant" dataDxfId="10"/>
    <tableColumn id="4" xr3:uid="{DC41CBD5-1813-4132-B2E1-BBB1D4AEDBFF}" name=" overall_height" dataDxfId="9"/>
    <tableColumn id="5" xr3:uid="{BADB8EC3-D78E-427D-B2D6-D39A0F7D1B38}" name=" overall_weight" dataDxfId="8"/>
    <tableColumn id="6" xr3:uid="{F6B63AB3-E055-4084-B9FB-4D74DE5CA654}" name=" BMI" dataDxfId="7"/>
    <tableColumn id="7" xr3:uid="{70972656-BAB2-4FAA-9EEB-84B274EFF4BA}" name=" medal_count" dataDxfId="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3D45E8C-7255-435F-8F24-149DEB02A768}" name="Table21" displayName="Table21" ref="K2:L230" totalsRowShown="0" dataDxfId="0">
  <autoFilter ref="K2:L230" xr:uid="{43D45E8C-7255-435F-8F24-149DEB02A768}"/>
  <tableColumns count="2">
    <tableColumn id="1" xr3:uid="{50C9D7B4-A9E5-49EA-A936-7E3D5093AA7A}" name="country" dataDxfId="2"/>
    <tableColumn id="2" xr3:uid="{C196689C-814D-4136-964D-06F0B92629E2}" name=" total_medal"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892C-12D5-479C-81DD-FBEEF28E358E}">
  <dimension ref="B2:K44"/>
  <sheetViews>
    <sheetView workbookViewId="0">
      <selection activeCell="B2" sqref="B2:H2"/>
    </sheetView>
  </sheetViews>
  <sheetFormatPr defaultRowHeight="14.5"/>
  <cols>
    <col min="2" max="2" width="27.1796875" customWidth="1"/>
    <col min="10" max="10" width="11.453125" customWidth="1"/>
    <col min="11" max="11" width="24.26953125" customWidth="1"/>
    <col min="12" max="13" width="10.26953125" customWidth="1"/>
  </cols>
  <sheetData>
    <row r="2" spans="2:11" ht="38" customHeight="1">
      <c r="B2" s="34" t="s">
        <v>0</v>
      </c>
      <c r="C2" s="34"/>
      <c r="D2" s="34"/>
      <c r="E2" s="34"/>
      <c r="F2" s="34"/>
      <c r="G2" s="34"/>
      <c r="H2" s="34"/>
      <c r="J2" s="3" t="s">
        <v>43</v>
      </c>
      <c r="K2" s="3" t="s">
        <v>44</v>
      </c>
    </row>
    <row r="3" spans="2:11">
      <c r="J3" s="4" t="s">
        <v>1</v>
      </c>
      <c r="K3" s="2">
        <v>3</v>
      </c>
    </row>
    <row r="4" spans="2:11">
      <c r="B4" s="32" t="s">
        <v>45</v>
      </c>
      <c r="C4" s="33"/>
      <c r="D4" s="33"/>
      <c r="E4" s="33"/>
      <c r="F4" s="33"/>
      <c r="G4" s="33"/>
      <c r="H4" s="33"/>
      <c r="J4" s="4" t="s">
        <v>2</v>
      </c>
      <c r="K4" s="2">
        <v>3</v>
      </c>
    </row>
    <row r="5" spans="2:11" ht="26" customHeight="1">
      <c r="B5" s="33"/>
      <c r="C5" s="33"/>
      <c r="D5" s="33"/>
      <c r="E5" s="33"/>
      <c r="F5" s="33"/>
      <c r="G5" s="33"/>
      <c r="H5" s="33"/>
      <c r="J5" s="4" t="s">
        <v>3</v>
      </c>
      <c r="K5" s="2">
        <v>2</v>
      </c>
    </row>
    <row r="6" spans="2:11" ht="26" customHeight="1">
      <c r="B6" s="33"/>
      <c r="C6" s="33"/>
      <c r="D6" s="33"/>
      <c r="E6" s="33"/>
      <c r="F6" s="33"/>
      <c r="G6" s="33"/>
      <c r="H6" s="33"/>
      <c r="J6" s="4" t="s">
        <v>4</v>
      </c>
      <c r="K6" s="2">
        <v>2</v>
      </c>
    </row>
    <row r="7" spans="2:11">
      <c r="B7" s="33"/>
      <c r="C7" s="33"/>
      <c r="D7" s="33"/>
      <c r="E7" s="33"/>
      <c r="F7" s="33"/>
      <c r="G7" s="33"/>
      <c r="H7" s="33"/>
      <c r="J7" s="4" t="s">
        <v>5</v>
      </c>
      <c r="K7" s="2">
        <v>2</v>
      </c>
    </row>
    <row r="8" spans="2:11">
      <c r="B8" s="33"/>
      <c r="C8" s="33"/>
      <c r="D8" s="33"/>
      <c r="E8" s="33"/>
      <c r="F8" s="33"/>
      <c r="G8" s="33"/>
      <c r="H8" s="33"/>
      <c r="J8" s="4" t="s">
        <v>6</v>
      </c>
      <c r="K8" s="2">
        <v>2</v>
      </c>
    </row>
    <row r="9" spans="2:11">
      <c r="B9" s="33"/>
      <c r="C9" s="33"/>
      <c r="D9" s="33"/>
      <c r="E9" s="33"/>
      <c r="F9" s="33"/>
      <c r="G9" s="33"/>
      <c r="H9" s="33"/>
      <c r="J9" s="4" t="s">
        <v>7</v>
      </c>
      <c r="K9" s="2">
        <v>2</v>
      </c>
    </row>
    <row r="10" spans="2:11" ht="26" customHeight="1">
      <c r="J10" s="4" t="s">
        <v>8</v>
      </c>
      <c r="K10" s="2">
        <v>2</v>
      </c>
    </row>
    <row r="11" spans="2:11">
      <c r="J11" s="4" t="s">
        <v>9</v>
      </c>
      <c r="K11" s="2">
        <v>1</v>
      </c>
    </row>
    <row r="12" spans="2:11">
      <c r="J12" s="4" t="s">
        <v>10</v>
      </c>
      <c r="K12" s="2">
        <v>1</v>
      </c>
    </row>
    <row r="13" spans="2:11">
      <c r="J13" s="4" t="s">
        <v>11</v>
      </c>
      <c r="K13" s="2">
        <v>1</v>
      </c>
    </row>
    <row r="14" spans="2:11">
      <c r="J14" s="4" t="s">
        <v>12</v>
      </c>
      <c r="K14" s="2">
        <v>1</v>
      </c>
    </row>
    <row r="15" spans="2:11">
      <c r="J15" s="4" t="s">
        <v>13</v>
      </c>
      <c r="K15" s="2">
        <v>1</v>
      </c>
    </row>
    <row r="16" spans="2:11">
      <c r="J16" s="4" t="s">
        <v>14</v>
      </c>
      <c r="K16" s="2">
        <v>1</v>
      </c>
    </row>
    <row r="17" spans="10:11">
      <c r="J17" s="4" t="s">
        <v>15</v>
      </c>
      <c r="K17" s="2">
        <v>1</v>
      </c>
    </row>
    <row r="18" spans="10:11">
      <c r="J18" s="4" t="s">
        <v>16</v>
      </c>
      <c r="K18" s="2">
        <v>1</v>
      </c>
    </row>
    <row r="19" spans="10:11">
      <c r="J19" s="4" t="s">
        <v>17</v>
      </c>
      <c r="K19" s="2">
        <v>1</v>
      </c>
    </row>
    <row r="20" spans="10:11">
      <c r="J20" s="4" t="s">
        <v>18</v>
      </c>
      <c r="K20" s="2">
        <v>1</v>
      </c>
    </row>
    <row r="21" spans="10:11">
      <c r="J21" s="4" t="s">
        <v>19</v>
      </c>
      <c r="K21" s="2">
        <v>1</v>
      </c>
    </row>
    <row r="22" spans="10:11" ht="26">
      <c r="J22" s="4" t="s">
        <v>20</v>
      </c>
      <c r="K22" s="2">
        <v>1</v>
      </c>
    </row>
    <row r="23" spans="10:11">
      <c r="J23" s="4" t="s">
        <v>21</v>
      </c>
      <c r="K23" s="2">
        <v>1</v>
      </c>
    </row>
    <row r="24" spans="10:11">
      <c r="J24" s="4" t="s">
        <v>22</v>
      </c>
      <c r="K24" s="2">
        <v>1</v>
      </c>
    </row>
    <row r="25" spans="10:11">
      <c r="J25" s="4" t="s">
        <v>23</v>
      </c>
      <c r="K25" s="2">
        <v>1</v>
      </c>
    </row>
    <row r="26" spans="10:11">
      <c r="J26" s="4" t="s">
        <v>24</v>
      </c>
      <c r="K26" s="2">
        <v>1</v>
      </c>
    </row>
    <row r="27" spans="10:11">
      <c r="J27" s="4" t="s">
        <v>25</v>
      </c>
      <c r="K27" s="2">
        <v>1</v>
      </c>
    </row>
    <row r="28" spans="10:11">
      <c r="J28" s="4" t="s">
        <v>26</v>
      </c>
      <c r="K28" s="2">
        <v>1</v>
      </c>
    </row>
    <row r="29" spans="10:11">
      <c r="J29" s="4" t="s">
        <v>27</v>
      </c>
      <c r="K29" s="2">
        <v>1</v>
      </c>
    </row>
    <row r="30" spans="10:11">
      <c r="J30" s="4" t="s">
        <v>28</v>
      </c>
      <c r="K30" s="2">
        <v>1</v>
      </c>
    </row>
    <row r="31" spans="10:11" ht="26">
      <c r="J31" s="4" t="s">
        <v>29</v>
      </c>
      <c r="K31" s="2">
        <v>1</v>
      </c>
    </row>
    <row r="32" spans="10:11">
      <c r="J32" s="4" t="s">
        <v>30</v>
      </c>
      <c r="K32" s="2">
        <v>1</v>
      </c>
    </row>
    <row r="33" spans="10:11">
      <c r="J33" s="4" t="s">
        <v>31</v>
      </c>
      <c r="K33" s="2">
        <v>1</v>
      </c>
    </row>
    <row r="34" spans="10:11">
      <c r="J34" s="4" t="s">
        <v>32</v>
      </c>
      <c r="K34" s="2">
        <v>1</v>
      </c>
    </row>
    <row r="35" spans="10:11">
      <c r="J35" s="4" t="s">
        <v>33</v>
      </c>
      <c r="K35" s="2">
        <v>1</v>
      </c>
    </row>
    <row r="36" spans="10:11">
      <c r="J36" s="4" t="s">
        <v>34</v>
      </c>
      <c r="K36" s="2">
        <v>1</v>
      </c>
    </row>
    <row r="37" spans="10:11">
      <c r="J37" s="4" t="s">
        <v>35</v>
      </c>
      <c r="K37" s="2">
        <v>1</v>
      </c>
    </row>
    <row r="38" spans="10:11">
      <c r="J38" s="4" t="s">
        <v>36</v>
      </c>
      <c r="K38" s="2">
        <v>1</v>
      </c>
    </row>
    <row r="39" spans="10:11">
      <c r="J39" s="4" t="s">
        <v>37</v>
      </c>
      <c r="K39" s="2">
        <v>1</v>
      </c>
    </row>
    <row r="40" spans="10:11">
      <c r="J40" s="4" t="s">
        <v>38</v>
      </c>
      <c r="K40" s="2">
        <v>1</v>
      </c>
    </row>
    <row r="41" spans="10:11">
      <c r="J41" s="4" t="s">
        <v>39</v>
      </c>
      <c r="K41" s="2">
        <v>1</v>
      </c>
    </row>
    <row r="42" spans="10:11">
      <c r="J42" s="4" t="s">
        <v>40</v>
      </c>
      <c r="K42" s="2">
        <v>1</v>
      </c>
    </row>
    <row r="43" spans="10:11">
      <c r="J43" s="4" t="s">
        <v>41</v>
      </c>
      <c r="K43" s="2">
        <v>1</v>
      </c>
    </row>
    <row r="44" spans="10:11" ht="26">
      <c r="J44" s="4" t="s">
        <v>42</v>
      </c>
      <c r="K44" s="2">
        <v>1</v>
      </c>
    </row>
  </sheetData>
  <mergeCells count="2">
    <mergeCell ref="B4:H9"/>
    <mergeCell ref="B2:H2"/>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BD2ED-144B-41E1-96C7-601E28652AA3}">
  <dimension ref="B2:P37"/>
  <sheetViews>
    <sheetView workbookViewId="0">
      <selection activeCell="O10" sqref="O10"/>
    </sheetView>
  </sheetViews>
  <sheetFormatPr defaultRowHeight="14.5"/>
  <cols>
    <col min="11" max="11" width="11.81640625" customWidth="1"/>
    <col min="12" max="12" width="16.7265625" customWidth="1"/>
    <col min="13" max="13" width="9.6328125" customWidth="1"/>
    <col min="15" max="15" width="11.26953125" customWidth="1"/>
    <col min="16" max="16" width="16.36328125" customWidth="1"/>
  </cols>
  <sheetData>
    <row r="2" spans="2:16" s="5" customFormat="1" ht="31" customHeight="1">
      <c r="B2" s="34" t="s">
        <v>47</v>
      </c>
      <c r="C2" s="34"/>
      <c r="D2" s="34"/>
      <c r="E2" s="34"/>
      <c r="F2" s="34"/>
      <c r="G2" s="34"/>
      <c r="H2" s="34"/>
      <c r="I2" s="34"/>
      <c r="K2" s="7" t="s">
        <v>48</v>
      </c>
      <c r="L2" s="7" t="s">
        <v>49</v>
      </c>
      <c r="M2" s="7" t="s">
        <v>46</v>
      </c>
      <c r="O2" s="7" t="s">
        <v>50</v>
      </c>
      <c r="P2" s="7" t="s">
        <v>51</v>
      </c>
    </row>
    <row r="3" spans="2:16">
      <c r="K3" s="1">
        <v>1896</v>
      </c>
      <c r="L3" s="6">
        <v>1</v>
      </c>
      <c r="M3" s="6"/>
      <c r="O3" t="s">
        <v>52</v>
      </c>
      <c r="P3">
        <v>1</v>
      </c>
    </row>
    <row r="4" spans="2:16">
      <c r="B4" s="35" t="s">
        <v>55</v>
      </c>
      <c r="C4" s="36"/>
      <c r="D4" s="36"/>
      <c r="E4" s="36"/>
      <c r="F4" s="36"/>
      <c r="G4" s="36"/>
      <c r="H4" s="36"/>
      <c r="I4" s="36"/>
      <c r="K4" s="1">
        <v>1900</v>
      </c>
      <c r="L4" s="6">
        <v>1</v>
      </c>
      <c r="M4" s="6"/>
      <c r="O4" t="s">
        <v>53</v>
      </c>
      <c r="P4">
        <v>2</v>
      </c>
    </row>
    <row r="5" spans="2:16">
      <c r="B5" s="36"/>
      <c r="C5" s="36"/>
      <c r="D5" s="36"/>
      <c r="E5" s="36"/>
      <c r="F5" s="36"/>
      <c r="G5" s="36"/>
      <c r="H5" s="36"/>
      <c r="I5" s="36"/>
      <c r="K5" s="1">
        <v>1904</v>
      </c>
      <c r="L5" s="6">
        <v>1</v>
      </c>
      <c r="M5" s="6"/>
      <c r="O5" t="s">
        <v>54</v>
      </c>
      <c r="P5">
        <v>1</v>
      </c>
    </row>
    <row r="6" spans="2:16">
      <c r="B6" s="36"/>
      <c r="C6" s="36"/>
      <c r="D6" s="36"/>
      <c r="E6" s="36"/>
      <c r="F6" s="36"/>
      <c r="G6" s="36"/>
      <c r="H6" s="36"/>
      <c r="I6" s="36"/>
      <c r="K6" s="1">
        <v>1906</v>
      </c>
      <c r="L6" s="6">
        <v>1</v>
      </c>
      <c r="M6" s="6"/>
    </row>
    <row r="7" spans="2:16">
      <c r="B7" s="36"/>
      <c r="C7" s="36"/>
      <c r="D7" s="36"/>
      <c r="E7" s="36"/>
      <c r="F7" s="36"/>
      <c r="G7" s="36"/>
      <c r="H7" s="36"/>
      <c r="I7" s="36"/>
      <c r="K7" s="1">
        <v>1908</v>
      </c>
      <c r="L7" s="6">
        <v>1</v>
      </c>
      <c r="M7" s="6"/>
    </row>
    <row r="8" spans="2:16">
      <c r="B8" s="36"/>
      <c r="C8" s="36"/>
      <c r="D8" s="36"/>
      <c r="E8" s="36"/>
      <c r="F8" s="36"/>
      <c r="G8" s="36"/>
      <c r="H8" s="36"/>
      <c r="I8" s="36"/>
      <c r="K8" s="1">
        <v>1912</v>
      </c>
      <c r="L8" s="6">
        <v>1</v>
      </c>
      <c r="M8" s="6"/>
    </row>
    <row r="9" spans="2:16">
      <c r="B9" s="36"/>
      <c r="C9" s="36"/>
      <c r="D9" s="36"/>
      <c r="E9" s="36"/>
      <c r="F9" s="36"/>
      <c r="G9" s="36"/>
      <c r="H9" s="36"/>
      <c r="I9" s="36"/>
      <c r="K9" s="1">
        <v>1920</v>
      </c>
      <c r="L9" s="6">
        <v>1</v>
      </c>
      <c r="M9" s="6"/>
    </row>
    <row r="10" spans="2:16">
      <c r="B10" s="36"/>
      <c r="C10" s="36"/>
      <c r="D10" s="36"/>
      <c r="E10" s="36"/>
      <c r="F10" s="36"/>
      <c r="G10" s="36"/>
      <c r="H10" s="36"/>
      <c r="I10" s="36"/>
      <c r="K10" s="1">
        <v>1924</v>
      </c>
      <c r="L10" s="6">
        <v>2</v>
      </c>
      <c r="M10" s="6"/>
    </row>
    <row r="11" spans="2:16">
      <c r="K11" s="1">
        <v>1928</v>
      </c>
      <c r="L11" s="6">
        <v>2</v>
      </c>
      <c r="M11" s="6"/>
    </row>
    <row r="12" spans="2:16">
      <c r="K12" s="1">
        <v>1932</v>
      </c>
      <c r="L12" s="6">
        <v>2</v>
      </c>
      <c r="M12" s="6"/>
    </row>
    <row r="13" spans="2:16">
      <c r="K13" s="1">
        <v>1936</v>
      </c>
      <c r="L13" s="6">
        <v>2</v>
      </c>
      <c r="M13" s="6"/>
    </row>
    <row r="14" spans="2:16">
      <c r="K14" s="1">
        <v>1948</v>
      </c>
      <c r="L14" s="6">
        <v>2</v>
      </c>
      <c r="M14" s="6"/>
    </row>
    <row r="15" spans="2:16">
      <c r="K15" s="1">
        <v>1952</v>
      </c>
      <c r="L15" s="6">
        <v>2</v>
      </c>
      <c r="M15" s="6"/>
    </row>
    <row r="16" spans="2:16">
      <c r="K16" s="1">
        <v>1956</v>
      </c>
      <c r="L16" s="6">
        <v>2</v>
      </c>
      <c r="M16" s="6"/>
    </row>
    <row r="17" spans="11:13">
      <c r="K17" s="1">
        <v>1960</v>
      </c>
      <c r="L17" s="6">
        <v>2</v>
      </c>
      <c r="M17" s="6"/>
    </row>
    <row r="18" spans="11:13">
      <c r="K18" s="1">
        <v>1964</v>
      </c>
      <c r="L18" s="6">
        <v>2</v>
      </c>
      <c r="M18" s="6"/>
    </row>
    <row r="19" spans="11:13">
      <c r="K19" s="1">
        <v>1968</v>
      </c>
      <c r="L19" s="6">
        <v>2</v>
      </c>
      <c r="M19" s="6"/>
    </row>
    <row r="20" spans="11:13">
      <c r="K20" s="1">
        <v>1972</v>
      </c>
      <c r="L20" s="6">
        <v>2</v>
      </c>
      <c r="M20" s="6"/>
    </row>
    <row r="21" spans="11:13">
      <c r="K21" s="1">
        <v>1976</v>
      </c>
      <c r="L21" s="6">
        <v>2</v>
      </c>
      <c r="M21" s="6"/>
    </row>
    <row r="22" spans="11:13">
      <c r="K22" s="1">
        <v>1980</v>
      </c>
      <c r="L22" s="6">
        <v>2</v>
      </c>
      <c r="M22" s="6"/>
    </row>
    <row r="23" spans="11:13">
      <c r="K23" s="1">
        <v>1984</v>
      </c>
      <c r="L23" s="6">
        <v>2</v>
      </c>
      <c r="M23" s="6"/>
    </row>
    <row r="24" spans="11:13">
      <c r="K24" s="1">
        <v>1988</v>
      </c>
      <c r="L24" s="6">
        <v>2</v>
      </c>
      <c r="M24" s="6"/>
    </row>
    <row r="25" spans="11:13">
      <c r="K25" s="1">
        <v>1992</v>
      </c>
      <c r="L25" s="6">
        <v>2</v>
      </c>
      <c r="M25" s="6"/>
    </row>
    <row r="26" spans="11:13">
      <c r="K26" s="1">
        <v>1994</v>
      </c>
      <c r="L26" s="6">
        <v>1</v>
      </c>
      <c r="M26" s="6"/>
    </row>
    <row r="27" spans="11:13">
      <c r="K27" s="1">
        <v>1996</v>
      </c>
      <c r="L27" s="6">
        <v>1</v>
      </c>
      <c r="M27" s="6"/>
    </row>
    <row r="28" spans="11:13">
      <c r="K28" s="1">
        <v>1998</v>
      </c>
      <c r="L28" s="6">
        <v>1</v>
      </c>
      <c r="M28" s="6"/>
    </row>
    <row r="29" spans="11:13">
      <c r="K29" s="1">
        <v>2000</v>
      </c>
      <c r="L29" s="6">
        <v>1</v>
      </c>
      <c r="M29" s="6"/>
    </row>
    <row r="30" spans="11:13">
      <c r="K30" s="1">
        <v>2002</v>
      </c>
      <c r="L30" s="6">
        <v>1</v>
      </c>
      <c r="M30" s="6"/>
    </row>
    <row r="31" spans="11:13">
      <c r="K31" s="1">
        <v>2004</v>
      </c>
      <c r="L31" s="6">
        <v>1</v>
      </c>
      <c r="M31" s="6"/>
    </row>
    <row r="32" spans="11:13">
      <c r="K32" s="1">
        <v>2006</v>
      </c>
      <c r="L32" s="6">
        <v>1</v>
      </c>
      <c r="M32" s="6"/>
    </row>
    <row r="33" spans="11:13">
      <c r="K33" s="1">
        <v>2008</v>
      </c>
      <c r="L33" s="6">
        <v>1</v>
      </c>
      <c r="M33" s="6"/>
    </row>
    <row r="34" spans="11:13">
      <c r="K34" s="1">
        <v>2010</v>
      </c>
      <c r="L34" s="6">
        <v>1</v>
      </c>
      <c r="M34" s="6"/>
    </row>
    <row r="35" spans="11:13">
      <c r="K35" s="1">
        <v>2012</v>
      </c>
      <c r="L35" s="6">
        <v>1</v>
      </c>
      <c r="M35" s="6"/>
    </row>
    <row r="36" spans="11:13">
      <c r="K36" s="1">
        <v>2014</v>
      </c>
      <c r="L36" s="6">
        <v>1</v>
      </c>
      <c r="M36" s="6"/>
    </row>
    <row r="37" spans="11:13">
      <c r="K37" s="1">
        <v>2016</v>
      </c>
      <c r="L37" s="6">
        <v>1</v>
      </c>
      <c r="M37" s="6"/>
    </row>
  </sheetData>
  <mergeCells count="2">
    <mergeCell ref="B4:I10"/>
    <mergeCell ref="B2:I2"/>
  </mergeCell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793E-4185-4E99-BD61-96BB53A61965}">
  <dimension ref="B2:K14"/>
  <sheetViews>
    <sheetView workbookViewId="0">
      <selection activeCell="J18" sqref="J18"/>
    </sheetView>
  </sheetViews>
  <sheetFormatPr defaultRowHeight="14.5"/>
  <cols>
    <col min="10" max="10" width="26.90625" customWidth="1"/>
    <col min="11" max="11" width="18.36328125" customWidth="1"/>
  </cols>
  <sheetData>
    <row r="2" spans="2:11" ht="13.5" customHeight="1">
      <c r="B2" s="34" t="s">
        <v>56</v>
      </c>
      <c r="C2" s="34"/>
      <c r="D2" s="34"/>
      <c r="E2" s="34"/>
      <c r="F2" s="34"/>
      <c r="G2" s="34"/>
      <c r="H2" s="34"/>
      <c r="J2" t="s">
        <v>63</v>
      </c>
      <c r="K2" t="s">
        <v>64</v>
      </c>
    </row>
    <row r="3" spans="2:11">
      <c r="B3" s="34"/>
      <c r="C3" s="34"/>
      <c r="D3" s="34"/>
      <c r="E3" s="34"/>
      <c r="F3" s="34"/>
      <c r="G3" s="34"/>
      <c r="H3" s="34"/>
      <c r="J3" s="1" t="s">
        <v>58</v>
      </c>
      <c r="K3" s="1">
        <v>5353</v>
      </c>
    </row>
    <row r="4" spans="2:11">
      <c r="J4" s="1" t="s">
        <v>59</v>
      </c>
      <c r="K4" s="1">
        <v>4711</v>
      </c>
    </row>
    <row r="5" spans="2:11">
      <c r="B5" s="35" t="s">
        <v>57</v>
      </c>
      <c r="C5" s="36"/>
      <c r="D5" s="36"/>
      <c r="E5" s="36"/>
      <c r="F5" s="36"/>
      <c r="G5" s="36"/>
      <c r="H5" s="36"/>
      <c r="J5" s="1" t="s">
        <v>60</v>
      </c>
      <c r="K5" s="1">
        <v>3748</v>
      </c>
    </row>
    <row r="6" spans="2:11">
      <c r="B6" s="36"/>
      <c r="C6" s="36"/>
      <c r="D6" s="36"/>
      <c r="E6" s="36"/>
      <c r="F6" s="36"/>
      <c r="G6" s="36"/>
      <c r="H6" s="36"/>
      <c r="J6" s="1" t="s">
        <v>61</v>
      </c>
      <c r="K6" s="1">
        <v>3154</v>
      </c>
    </row>
    <row r="7" spans="2:11">
      <c r="B7" s="36"/>
      <c r="C7" s="36"/>
      <c r="D7" s="36"/>
      <c r="E7" s="36"/>
      <c r="F7" s="36"/>
      <c r="G7" s="36"/>
      <c r="H7" s="36"/>
      <c r="J7" s="1" t="s">
        <v>62</v>
      </c>
      <c r="K7" s="1">
        <v>3078</v>
      </c>
    </row>
    <row r="8" spans="2:11" ht="29">
      <c r="B8" s="36"/>
      <c r="C8" s="36"/>
      <c r="D8" s="36"/>
      <c r="E8" s="36"/>
      <c r="F8" s="36"/>
      <c r="G8" s="36"/>
      <c r="H8" s="36"/>
      <c r="J8" s="1" t="s">
        <v>65</v>
      </c>
      <c r="K8" s="1">
        <v>2788</v>
      </c>
    </row>
    <row r="9" spans="2:11">
      <c r="B9" s="36"/>
      <c r="C9" s="36"/>
      <c r="D9" s="36"/>
      <c r="E9" s="36"/>
      <c r="F9" s="36"/>
      <c r="G9" s="36"/>
      <c r="H9" s="36"/>
      <c r="J9" s="1" t="s">
        <v>66</v>
      </c>
      <c r="K9" s="1">
        <v>2243</v>
      </c>
    </row>
    <row r="10" spans="2:11">
      <c r="B10" s="36"/>
      <c r="C10" s="36"/>
      <c r="D10" s="36"/>
      <c r="E10" s="36"/>
      <c r="F10" s="36"/>
      <c r="G10" s="36"/>
      <c r="H10" s="36"/>
      <c r="I10" s="2"/>
      <c r="J10" s="1" t="s">
        <v>67</v>
      </c>
      <c r="K10" s="1">
        <v>2239</v>
      </c>
    </row>
    <row r="11" spans="2:11" ht="29">
      <c r="B11" s="36"/>
      <c r="C11" s="36"/>
      <c r="D11" s="36"/>
      <c r="E11" s="36"/>
      <c r="F11" s="36"/>
      <c r="G11" s="36"/>
      <c r="H11" s="36"/>
      <c r="J11" s="1" t="s">
        <v>68</v>
      </c>
      <c r="K11" s="1">
        <v>2226</v>
      </c>
    </row>
    <row r="12" spans="2:11" ht="29">
      <c r="B12" s="36"/>
      <c r="C12" s="36"/>
      <c r="D12" s="36"/>
      <c r="E12" s="36"/>
      <c r="F12" s="36"/>
      <c r="G12" s="36"/>
      <c r="H12" s="36"/>
      <c r="J12" s="1" t="s">
        <v>69</v>
      </c>
      <c r="K12" s="1">
        <v>2174</v>
      </c>
    </row>
    <row r="13" spans="2:11">
      <c r="B13" s="36"/>
      <c r="C13" s="36"/>
      <c r="D13" s="36"/>
      <c r="E13" s="36"/>
      <c r="F13" s="36"/>
      <c r="G13" s="36"/>
      <c r="H13" s="36"/>
    </row>
    <row r="14" spans="2:11">
      <c r="B14" s="36"/>
      <c r="C14" s="36"/>
      <c r="D14" s="36"/>
      <c r="E14" s="36"/>
      <c r="F14" s="36"/>
      <c r="G14" s="36"/>
      <c r="H14" s="36"/>
    </row>
  </sheetData>
  <mergeCells count="2">
    <mergeCell ref="B2:H3"/>
    <mergeCell ref="B5:H14"/>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0696-A0EF-4BED-9E2F-92A56C68D0A5}">
  <dimension ref="B1:O68"/>
  <sheetViews>
    <sheetView topLeftCell="A4" workbookViewId="0">
      <selection activeCell="M2" sqref="M2:O2"/>
    </sheetView>
  </sheetViews>
  <sheetFormatPr defaultRowHeight="14.5"/>
  <cols>
    <col min="11" max="11" width="13.26953125" customWidth="1"/>
    <col min="12" max="12" width="3.7265625" customWidth="1"/>
    <col min="13" max="13" width="22.54296875" customWidth="1"/>
  </cols>
  <sheetData>
    <row r="1" spans="2:15">
      <c r="K1" s="1"/>
      <c r="L1" s="1"/>
      <c r="M1" s="1"/>
    </row>
    <row r="2" spans="2:15">
      <c r="B2" s="37" t="s">
        <v>139</v>
      </c>
      <c r="C2" s="37"/>
      <c r="D2" s="37"/>
      <c r="E2" s="37"/>
      <c r="F2" s="37"/>
      <c r="G2" s="37"/>
      <c r="H2" s="37"/>
      <c r="I2" s="37"/>
      <c r="M2" t="s">
        <v>136</v>
      </c>
      <c r="N2" t="s">
        <v>137</v>
      </c>
      <c r="O2" t="s">
        <v>138</v>
      </c>
    </row>
    <row r="3" spans="2:15">
      <c r="B3" s="37"/>
      <c r="C3" s="37"/>
      <c r="D3" s="37"/>
      <c r="E3" s="37"/>
      <c r="F3" s="37"/>
      <c r="G3" s="37"/>
      <c r="H3" s="37"/>
      <c r="I3" s="37"/>
      <c r="M3" s="1" t="s">
        <v>70</v>
      </c>
      <c r="N3" s="1">
        <v>2016</v>
      </c>
      <c r="O3" s="1">
        <v>299</v>
      </c>
    </row>
    <row r="4" spans="2:15">
      <c r="M4" s="1" t="s">
        <v>71</v>
      </c>
      <c r="N4" s="1">
        <v>2000</v>
      </c>
      <c r="O4" s="1">
        <v>529</v>
      </c>
    </row>
    <row r="5" spans="2:15" ht="14.5" customHeight="1">
      <c r="B5" s="35" t="s">
        <v>140</v>
      </c>
      <c r="C5" s="36"/>
      <c r="D5" s="36"/>
      <c r="E5" s="36"/>
      <c r="F5" s="36"/>
      <c r="G5" s="36"/>
      <c r="H5" s="36"/>
      <c r="I5" s="36"/>
      <c r="M5" s="1" t="s">
        <v>72</v>
      </c>
      <c r="N5" s="1">
        <v>2000</v>
      </c>
      <c r="O5" s="1">
        <v>152</v>
      </c>
    </row>
    <row r="6" spans="2:15">
      <c r="B6" s="36"/>
      <c r="C6" s="36"/>
      <c r="D6" s="36"/>
      <c r="E6" s="36"/>
      <c r="F6" s="36"/>
      <c r="G6" s="36"/>
      <c r="H6" s="36"/>
      <c r="I6" s="36"/>
      <c r="M6" s="1" t="s">
        <v>73</v>
      </c>
      <c r="N6" s="1">
        <v>2000</v>
      </c>
      <c r="O6" s="1">
        <v>606</v>
      </c>
    </row>
    <row r="7" spans="2:15">
      <c r="B7" s="36"/>
      <c r="C7" s="36"/>
      <c r="D7" s="36"/>
      <c r="E7" s="36"/>
      <c r="F7" s="36"/>
      <c r="G7" s="36"/>
      <c r="H7" s="36"/>
      <c r="I7" s="36"/>
      <c r="M7" s="1" t="s">
        <v>74</v>
      </c>
      <c r="N7" s="1">
        <v>1998</v>
      </c>
      <c r="O7" s="1">
        <v>936</v>
      </c>
    </row>
    <row r="8" spans="2:15">
      <c r="B8" s="36"/>
      <c r="C8" s="36"/>
      <c r="D8" s="36"/>
      <c r="E8" s="36"/>
      <c r="F8" s="36"/>
      <c r="G8" s="36"/>
      <c r="H8" s="36"/>
      <c r="I8" s="36"/>
      <c r="M8" s="1" t="s">
        <v>75</v>
      </c>
      <c r="N8" s="1">
        <v>1996</v>
      </c>
      <c r="O8" s="1">
        <v>478</v>
      </c>
    </row>
    <row r="9" spans="2:15">
      <c r="B9" s="36"/>
      <c r="C9" s="36"/>
      <c r="D9" s="36"/>
      <c r="E9" s="36"/>
      <c r="F9" s="36"/>
      <c r="G9" s="36"/>
      <c r="H9" s="36"/>
      <c r="I9" s="36"/>
      <c r="M9" s="1" t="s">
        <v>76</v>
      </c>
      <c r="N9" s="1">
        <v>1996</v>
      </c>
      <c r="O9" s="1">
        <v>563</v>
      </c>
    </row>
    <row r="10" spans="2:15">
      <c r="B10" s="36"/>
      <c r="C10" s="36"/>
      <c r="D10" s="36"/>
      <c r="E10" s="36"/>
      <c r="F10" s="36"/>
      <c r="G10" s="36"/>
      <c r="H10" s="36"/>
      <c r="I10" s="36"/>
      <c r="M10" s="1" t="s">
        <v>77</v>
      </c>
      <c r="N10" s="1">
        <v>1992</v>
      </c>
      <c r="O10" s="1">
        <v>1457</v>
      </c>
    </row>
    <row r="11" spans="2:15">
      <c r="B11" s="36"/>
      <c r="C11" s="36"/>
      <c r="D11" s="36"/>
      <c r="E11" s="36"/>
      <c r="F11" s="36"/>
      <c r="G11" s="36"/>
      <c r="H11" s="36"/>
      <c r="I11" s="36"/>
      <c r="M11" s="1" t="s">
        <v>78</v>
      </c>
      <c r="N11" s="1">
        <v>1992</v>
      </c>
      <c r="O11" s="1">
        <v>891</v>
      </c>
    </row>
    <row r="12" spans="2:15">
      <c r="B12" s="36"/>
      <c r="C12" s="36"/>
      <c r="D12" s="36"/>
      <c r="E12" s="36"/>
      <c r="F12" s="36"/>
      <c r="G12" s="36"/>
      <c r="H12" s="36"/>
      <c r="I12" s="36"/>
      <c r="M12" s="1" t="s">
        <v>79</v>
      </c>
      <c r="N12" s="1">
        <v>1992</v>
      </c>
      <c r="O12" s="1">
        <v>937</v>
      </c>
    </row>
    <row r="13" spans="2:15">
      <c r="B13" s="36"/>
      <c r="C13" s="36"/>
      <c r="D13" s="36"/>
      <c r="E13" s="36"/>
      <c r="F13" s="36"/>
      <c r="G13" s="36"/>
      <c r="H13" s="36"/>
      <c r="I13" s="36"/>
      <c r="M13" s="1" t="s">
        <v>80</v>
      </c>
      <c r="N13" s="1">
        <v>1992</v>
      </c>
      <c r="O13" s="1">
        <v>1532</v>
      </c>
    </row>
    <row r="14" spans="2:15">
      <c r="B14" s="36"/>
      <c r="C14" s="36"/>
      <c r="D14" s="36"/>
      <c r="E14" s="36"/>
      <c r="F14" s="36"/>
      <c r="G14" s="36"/>
      <c r="H14" s="36"/>
      <c r="I14" s="36"/>
      <c r="M14" s="1" t="s">
        <v>81</v>
      </c>
      <c r="N14" s="1">
        <v>1988</v>
      </c>
      <c r="O14" s="1">
        <v>1948</v>
      </c>
    </row>
    <row r="15" spans="2:15" ht="58" customHeight="1">
      <c r="B15" s="36"/>
      <c r="C15" s="36"/>
      <c r="D15" s="36"/>
      <c r="E15" s="36"/>
      <c r="F15" s="36"/>
      <c r="G15" s="36"/>
      <c r="H15" s="36"/>
      <c r="I15" s="36"/>
      <c r="M15" s="1" t="s">
        <v>82</v>
      </c>
      <c r="N15" s="1">
        <v>1984</v>
      </c>
      <c r="O15" s="1">
        <v>903</v>
      </c>
    </row>
    <row r="16" spans="2:15">
      <c r="M16" s="1" t="s">
        <v>83</v>
      </c>
      <c r="N16" s="1">
        <v>1984</v>
      </c>
      <c r="O16" s="1">
        <v>658</v>
      </c>
    </row>
    <row r="17" spans="2:15">
      <c r="B17" t="s">
        <v>141</v>
      </c>
      <c r="M17" s="1" t="s">
        <v>84</v>
      </c>
      <c r="N17" s="1">
        <v>1964</v>
      </c>
      <c r="O17" s="1">
        <v>1473</v>
      </c>
    </row>
    <row r="18" spans="2:15">
      <c r="B18" t="s">
        <v>142</v>
      </c>
      <c r="M18" s="1" t="s">
        <v>85</v>
      </c>
      <c r="N18" s="1">
        <v>1964</v>
      </c>
      <c r="O18" s="1">
        <v>3390</v>
      </c>
    </row>
    <row r="19" spans="2:15">
      <c r="M19" s="1" t="s">
        <v>86</v>
      </c>
      <c r="N19" s="1">
        <v>1964</v>
      </c>
      <c r="O19" s="1">
        <v>3761</v>
      </c>
    </row>
    <row r="20" spans="2:15">
      <c r="M20" s="1" t="s">
        <v>87</v>
      </c>
      <c r="N20" s="1">
        <v>1960</v>
      </c>
      <c r="O20" s="1">
        <v>4887</v>
      </c>
    </row>
    <row r="21" spans="2:15">
      <c r="M21" s="1" t="s">
        <v>88</v>
      </c>
      <c r="N21" s="1">
        <v>1936</v>
      </c>
      <c r="O21" s="1">
        <v>1</v>
      </c>
    </row>
    <row r="22" spans="2:15">
      <c r="M22" s="1" t="s">
        <v>89</v>
      </c>
      <c r="N22" s="1">
        <v>1936</v>
      </c>
      <c r="O22" s="1">
        <v>8712</v>
      </c>
    </row>
    <row r="23" spans="2:15">
      <c r="M23" s="1" t="s">
        <v>90</v>
      </c>
      <c r="N23" s="1">
        <v>1936</v>
      </c>
      <c r="O23" s="1">
        <v>4334</v>
      </c>
    </row>
    <row r="24" spans="2:15">
      <c r="B24" s="8"/>
      <c r="M24" s="1" t="s">
        <v>91</v>
      </c>
      <c r="N24" s="1">
        <v>1936</v>
      </c>
      <c r="O24" s="1">
        <v>6125</v>
      </c>
    </row>
    <row r="25" spans="2:15">
      <c r="M25" s="1" t="s">
        <v>92</v>
      </c>
      <c r="N25" s="1">
        <v>1936</v>
      </c>
      <c r="O25" s="1">
        <v>3630</v>
      </c>
    </row>
    <row r="26" spans="2:15">
      <c r="M26" s="1" t="s">
        <v>93</v>
      </c>
      <c r="N26" s="1">
        <v>1928</v>
      </c>
      <c r="O26" s="1">
        <v>196</v>
      </c>
    </row>
    <row r="27" spans="2:15">
      <c r="M27" s="1" t="s">
        <v>94</v>
      </c>
      <c r="N27" s="1">
        <v>1924</v>
      </c>
      <c r="O27" s="1">
        <v>16</v>
      </c>
    </row>
    <row r="28" spans="2:15">
      <c r="M28" s="1" t="s">
        <v>95</v>
      </c>
      <c r="N28" s="1">
        <v>1924</v>
      </c>
      <c r="O28" s="1">
        <v>2966</v>
      </c>
    </row>
    <row r="29" spans="2:15">
      <c r="M29" s="1" t="s">
        <v>96</v>
      </c>
      <c r="N29" s="1">
        <v>1924</v>
      </c>
      <c r="O29" s="1">
        <v>5576</v>
      </c>
    </row>
    <row r="30" spans="2:15">
      <c r="M30" s="1" t="s">
        <v>97</v>
      </c>
      <c r="N30" s="1">
        <v>1924</v>
      </c>
      <c r="O30" s="1">
        <v>2387</v>
      </c>
    </row>
    <row r="31" spans="2:15">
      <c r="M31" s="1" t="s">
        <v>98</v>
      </c>
      <c r="N31" s="1">
        <v>1924</v>
      </c>
      <c r="O31" s="1">
        <v>9089</v>
      </c>
    </row>
    <row r="32" spans="2:15">
      <c r="M32" s="1" t="s">
        <v>99</v>
      </c>
      <c r="N32" s="1">
        <v>1924</v>
      </c>
      <c r="O32" s="1">
        <v>461</v>
      </c>
    </row>
    <row r="33" spans="13:15">
      <c r="M33" s="1" t="s">
        <v>100</v>
      </c>
      <c r="N33" s="1">
        <v>1924</v>
      </c>
      <c r="O33" s="1">
        <v>19</v>
      </c>
    </row>
    <row r="34" spans="13:15">
      <c r="M34" s="1" t="s">
        <v>101</v>
      </c>
      <c r="N34" s="1">
        <v>1924</v>
      </c>
      <c r="O34" s="1">
        <v>1329</v>
      </c>
    </row>
    <row r="35" spans="13:15">
      <c r="M35" s="1" t="s">
        <v>102</v>
      </c>
      <c r="N35" s="1">
        <v>1920</v>
      </c>
      <c r="O35" s="1">
        <v>5465</v>
      </c>
    </row>
    <row r="36" spans="13:15">
      <c r="M36" s="1" t="s">
        <v>103</v>
      </c>
      <c r="N36" s="1">
        <v>1912</v>
      </c>
      <c r="O36" s="1">
        <v>3071</v>
      </c>
    </row>
    <row r="37" spans="13:15">
      <c r="M37" s="1" t="s">
        <v>104</v>
      </c>
      <c r="N37" s="1">
        <v>1912</v>
      </c>
      <c r="O37" s="1">
        <v>1624</v>
      </c>
    </row>
    <row r="38" spans="13:15">
      <c r="M38" s="1" t="s">
        <v>105</v>
      </c>
      <c r="N38" s="1">
        <v>1908</v>
      </c>
      <c r="O38" s="1">
        <v>12</v>
      </c>
    </row>
    <row r="39" spans="13:15">
      <c r="M39" s="1" t="s">
        <v>106</v>
      </c>
      <c r="N39" s="1">
        <v>1908</v>
      </c>
      <c r="O39" s="1">
        <v>2257</v>
      </c>
    </row>
    <row r="40" spans="13:15">
      <c r="M40" s="1" t="s">
        <v>107</v>
      </c>
      <c r="N40" s="1">
        <v>1908</v>
      </c>
      <c r="O40" s="1">
        <v>11</v>
      </c>
    </row>
    <row r="41" spans="13:15">
      <c r="M41" s="1" t="s">
        <v>108</v>
      </c>
      <c r="N41" s="1">
        <v>1908</v>
      </c>
      <c r="O41" s="1">
        <v>15</v>
      </c>
    </row>
    <row r="42" spans="13:15">
      <c r="M42" s="1" t="s">
        <v>109</v>
      </c>
      <c r="N42" s="1">
        <v>1908</v>
      </c>
      <c r="O42" s="1">
        <v>5206</v>
      </c>
    </row>
    <row r="43" spans="13:15">
      <c r="M43" s="1" t="s">
        <v>110</v>
      </c>
      <c r="N43" s="1">
        <v>1904</v>
      </c>
      <c r="O43" s="1">
        <v>2718</v>
      </c>
    </row>
    <row r="44" spans="13:15">
      <c r="M44" s="1" t="s">
        <v>111</v>
      </c>
      <c r="N44" s="1">
        <v>1904</v>
      </c>
      <c r="O44" s="1">
        <v>5720</v>
      </c>
    </row>
    <row r="45" spans="13:15">
      <c r="M45" s="1" t="s">
        <v>112</v>
      </c>
      <c r="N45" s="1">
        <v>1904</v>
      </c>
      <c r="O45" s="1">
        <v>36</v>
      </c>
    </row>
    <row r="46" spans="13:15">
      <c r="M46" s="1" t="s">
        <v>113</v>
      </c>
      <c r="N46" s="1">
        <v>1904</v>
      </c>
      <c r="O46" s="1">
        <v>3</v>
      </c>
    </row>
    <row r="47" spans="13:15">
      <c r="M47" s="1" t="s">
        <v>114</v>
      </c>
      <c r="N47" s="1">
        <v>1900</v>
      </c>
      <c r="O47" s="1">
        <v>2249</v>
      </c>
    </row>
    <row r="48" spans="13:15">
      <c r="M48" s="1" t="s">
        <v>115</v>
      </c>
      <c r="N48" s="1">
        <v>1900</v>
      </c>
      <c r="O48" s="1">
        <v>10021</v>
      </c>
    </row>
    <row r="49" spans="13:15">
      <c r="M49" s="1" t="s">
        <v>116</v>
      </c>
      <c r="N49" s="1">
        <v>1900</v>
      </c>
      <c r="O49" s="1">
        <v>6272</v>
      </c>
    </row>
    <row r="50" spans="13:15">
      <c r="M50" s="1" t="s">
        <v>117</v>
      </c>
      <c r="N50" s="1">
        <v>1900</v>
      </c>
      <c r="O50" s="1">
        <v>89</v>
      </c>
    </row>
    <row r="51" spans="13:15">
      <c r="M51" s="1" t="s">
        <v>118</v>
      </c>
      <c r="N51" s="1">
        <v>1900</v>
      </c>
      <c r="O51" s="1">
        <v>15</v>
      </c>
    </row>
    <row r="52" spans="13:15">
      <c r="M52" s="1" t="s">
        <v>119</v>
      </c>
      <c r="N52" s="1">
        <v>1900</v>
      </c>
      <c r="O52" s="1">
        <v>231</v>
      </c>
    </row>
    <row r="53" spans="13:15">
      <c r="M53" s="1" t="s">
        <v>120</v>
      </c>
      <c r="N53" s="1">
        <v>1900</v>
      </c>
      <c r="O53" s="1">
        <v>6362</v>
      </c>
    </row>
    <row r="54" spans="13:15">
      <c r="M54" s="1" t="s">
        <v>121</v>
      </c>
      <c r="N54" s="1">
        <v>1900</v>
      </c>
      <c r="O54" s="1">
        <v>18</v>
      </c>
    </row>
    <row r="55" spans="13:15">
      <c r="M55" s="1" t="s">
        <v>122</v>
      </c>
      <c r="N55" s="1">
        <v>1900</v>
      </c>
      <c r="O55" s="1">
        <v>2</v>
      </c>
    </row>
    <row r="56" spans="13:15">
      <c r="M56" s="1" t="s">
        <v>123</v>
      </c>
      <c r="N56" s="1">
        <v>1900</v>
      </c>
      <c r="O56" s="1">
        <v>6134</v>
      </c>
    </row>
    <row r="57" spans="13:15">
      <c r="M57" s="1" t="s">
        <v>124</v>
      </c>
      <c r="N57" s="1">
        <v>1900</v>
      </c>
      <c r="O57" s="1">
        <v>111</v>
      </c>
    </row>
    <row r="58" spans="13:15">
      <c r="M58" s="1" t="s">
        <v>125</v>
      </c>
      <c r="N58" s="1">
        <v>1900</v>
      </c>
      <c r="O58" s="1">
        <v>125</v>
      </c>
    </row>
    <row r="59" spans="13:15">
      <c r="M59" s="1" t="s">
        <v>126</v>
      </c>
      <c r="N59" s="1">
        <v>1900</v>
      </c>
      <c r="O59" s="1">
        <v>3642</v>
      </c>
    </row>
    <row r="60" spans="13:15">
      <c r="M60" s="1" t="s">
        <v>127</v>
      </c>
      <c r="N60" s="1">
        <v>1896</v>
      </c>
      <c r="O60" s="1">
        <v>10620</v>
      </c>
    </row>
    <row r="61" spans="13:15">
      <c r="M61" s="1" t="s">
        <v>128</v>
      </c>
      <c r="N61" s="1">
        <v>1896</v>
      </c>
      <c r="O61" s="1">
        <v>25463</v>
      </c>
    </row>
    <row r="62" spans="13:15">
      <c r="M62" s="1" t="s">
        <v>129</v>
      </c>
      <c r="N62" s="1">
        <v>1896</v>
      </c>
      <c r="O62" s="1">
        <v>22596</v>
      </c>
    </row>
    <row r="63" spans="13:15">
      <c r="M63" s="1" t="s">
        <v>130</v>
      </c>
      <c r="N63" s="1">
        <v>1896</v>
      </c>
      <c r="O63" s="1">
        <v>10005</v>
      </c>
    </row>
    <row r="64" spans="13:15">
      <c r="M64" s="1" t="s">
        <v>131</v>
      </c>
      <c r="N64" s="1">
        <v>1896</v>
      </c>
      <c r="O64" s="1">
        <v>37361</v>
      </c>
    </row>
    <row r="65" spans="13:15">
      <c r="M65" s="1" t="s">
        <v>132</v>
      </c>
      <c r="N65" s="1">
        <v>1896</v>
      </c>
      <c r="O65" s="1">
        <v>2731</v>
      </c>
    </row>
    <row r="66" spans="13:15">
      <c r="M66" s="1" t="s">
        <v>133</v>
      </c>
      <c r="N66" s="1">
        <v>1896</v>
      </c>
      <c r="O66" s="1">
        <v>10170</v>
      </c>
    </row>
    <row r="67" spans="13:15">
      <c r="M67" s="1" t="s">
        <v>134</v>
      </c>
      <c r="N67" s="1">
        <v>1896</v>
      </c>
      <c r="O67" s="1">
        <v>3725</v>
      </c>
    </row>
    <row r="68" spans="13:15">
      <c r="M68" s="1" t="s">
        <v>135</v>
      </c>
      <c r="N68" s="1">
        <v>1896</v>
      </c>
      <c r="O68" s="1">
        <v>6650</v>
      </c>
    </row>
  </sheetData>
  <mergeCells count="2">
    <mergeCell ref="B2:I3"/>
    <mergeCell ref="B5:I1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DC1E-B7E0-47B2-96AB-F0C72A1FED21}">
  <dimension ref="B2:N121"/>
  <sheetViews>
    <sheetView workbookViewId="0">
      <selection activeCell="E1" sqref="E1"/>
    </sheetView>
  </sheetViews>
  <sheetFormatPr defaultRowHeight="14.5"/>
  <cols>
    <col min="2" max="2" width="15.6328125" customWidth="1"/>
    <col min="3" max="3" width="18.90625" customWidth="1"/>
    <col min="8" max="8" width="14" customWidth="1"/>
    <col min="9" max="9" width="8.54296875" customWidth="1"/>
    <col min="10" max="10" width="24.6328125" customWidth="1"/>
    <col min="11" max="11" width="22.7265625" customWidth="1"/>
    <col min="12" max="12" width="6.08984375" customWidth="1"/>
    <col min="13" max="13" width="13.453125" customWidth="1"/>
    <col min="14" max="14" width="22.7265625" customWidth="1"/>
  </cols>
  <sheetData>
    <row r="2" spans="2:14">
      <c r="B2" s="38" t="s">
        <v>143</v>
      </c>
      <c r="C2" s="38"/>
      <c r="D2" s="38"/>
      <c r="E2" s="38"/>
      <c r="F2" s="38"/>
      <c r="G2" s="38"/>
      <c r="H2" s="38"/>
      <c r="J2" t="s">
        <v>136</v>
      </c>
      <c r="K2" s="1" t="s">
        <v>145</v>
      </c>
      <c r="L2" s="1"/>
      <c r="M2" t="s">
        <v>136</v>
      </c>
      <c r="N2" t="s">
        <v>147</v>
      </c>
    </row>
    <row r="3" spans="2:14">
      <c r="B3" s="38"/>
      <c r="C3" s="38"/>
      <c r="D3" s="38"/>
      <c r="E3" s="38"/>
      <c r="F3" s="38"/>
      <c r="G3" s="38"/>
      <c r="H3" s="38"/>
      <c r="J3" s="1" t="s">
        <v>88</v>
      </c>
      <c r="K3" s="1">
        <v>1</v>
      </c>
      <c r="L3" s="1"/>
      <c r="M3" s="1" t="s">
        <v>89</v>
      </c>
      <c r="N3" s="1">
        <v>7500</v>
      </c>
    </row>
    <row r="4" spans="2:14">
      <c r="J4" s="1" t="s">
        <v>89</v>
      </c>
      <c r="K4" s="1">
        <v>1212</v>
      </c>
      <c r="L4" s="1"/>
      <c r="M4" s="1" t="s">
        <v>114</v>
      </c>
      <c r="N4" s="1">
        <v>2064</v>
      </c>
    </row>
    <row r="5" spans="2:14">
      <c r="B5" s="35" t="s">
        <v>144</v>
      </c>
      <c r="C5" s="36"/>
      <c r="D5" s="36"/>
      <c r="E5" s="36"/>
      <c r="F5" s="36"/>
      <c r="G5" s="36"/>
      <c r="H5" s="36"/>
      <c r="J5" s="1" t="s">
        <v>94</v>
      </c>
      <c r="K5" s="1">
        <v>16</v>
      </c>
      <c r="L5" s="1"/>
      <c r="M5" s="1" t="s">
        <v>131</v>
      </c>
      <c r="N5" s="1">
        <v>27793</v>
      </c>
    </row>
    <row r="6" spans="2:14">
      <c r="B6" s="36"/>
      <c r="C6" s="36"/>
      <c r="D6" s="36"/>
      <c r="E6" s="36"/>
      <c r="F6" s="36"/>
      <c r="G6" s="36"/>
      <c r="H6" s="36"/>
      <c r="J6" s="1" t="s">
        <v>114</v>
      </c>
      <c r="K6" s="1">
        <v>185</v>
      </c>
      <c r="L6" s="1"/>
      <c r="M6" s="1" t="s">
        <v>77</v>
      </c>
      <c r="N6" s="1">
        <v>1457</v>
      </c>
    </row>
    <row r="7" spans="2:14">
      <c r="B7" s="36"/>
      <c r="C7" s="36"/>
      <c r="D7" s="36"/>
      <c r="E7" s="36"/>
      <c r="F7" s="36"/>
      <c r="G7" s="36"/>
      <c r="H7" s="36"/>
      <c r="J7" s="1" t="s">
        <v>103</v>
      </c>
      <c r="K7" s="1">
        <v>3071</v>
      </c>
      <c r="L7" s="1"/>
      <c r="M7" s="1" t="s">
        <v>78</v>
      </c>
      <c r="N7" s="1">
        <v>891</v>
      </c>
    </row>
    <row r="8" spans="2:14">
      <c r="B8" s="36"/>
      <c r="C8" s="36"/>
      <c r="D8" s="36"/>
      <c r="E8" s="36"/>
      <c r="F8" s="36"/>
      <c r="G8" s="36"/>
      <c r="H8" s="36"/>
      <c r="J8" s="1" t="s">
        <v>131</v>
      </c>
      <c r="K8" s="1">
        <v>9568</v>
      </c>
      <c r="L8" s="1"/>
      <c r="M8" s="1" t="s">
        <v>90</v>
      </c>
      <c r="N8" s="1">
        <v>3567</v>
      </c>
    </row>
    <row r="9" spans="2:14" ht="29">
      <c r="B9" s="36"/>
      <c r="C9" s="36"/>
      <c r="D9" s="36"/>
      <c r="E9" s="36"/>
      <c r="F9" s="36"/>
      <c r="G9" s="36"/>
      <c r="H9" s="36"/>
      <c r="J9" s="1" t="s">
        <v>90</v>
      </c>
      <c r="K9" s="1">
        <v>767</v>
      </c>
      <c r="L9" s="1"/>
      <c r="M9" s="1" t="s">
        <v>76</v>
      </c>
      <c r="N9" s="1">
        <v>563</v>
      </c>
    </row>
    <row r="10" spans="2:14">
      <c r="B10" s="36"/>
      <c r="C10" s="36"/>
      <c r="D10" s="36"/>
      <c r="E10" s="36"/>
      <c r="F10" s="36"/>
      <c r="G10" s="36"/>
      <c r="H10" s="36"/>
      <c r="J10" s="1" t="s">
        <v>122</v>
      </c>
      <c r="K10" s="1">
        <v>2</v>
      </c>
      <c r="L10" s="1"/>
      <c r="M10" s="1" t="s">
        <v>87</v>
      </c>
      <c r="N10" s="1">
        <v>4887</v>
      </c>
    </row>
    <row r="11" spans="2:14">
      <c r="B11" s="36"/>
      <c r="C11" s="36"/>
      <c r="D11" s="36"/>
      <c r="E11" s="36"/>
      <c r="F11" s="36"/>
      <c r="G11" s="36"/>
      <c r="H11" s="36"/>
      <c r="J11" s="1" t="s">
        <v>95</v>
      </c>
      <c r="K11" s="1">
        <v>569</v>
      </c>
      <c r="L11" s="1"/>
      <c r="M11" s="1" t="s">
        <v>95</v>
      </c>
      <c r="N11" s="1">
        <v>2397</v>
      </c>
    </row>
    <row r="12" spans="2:14">
      <c r="B12" s="36"/>
      <c r="C12" s="36"/>
      <c r="D12" s="36"/>
      <c r="E12" s="36"/>
      <c r="F12" s="36"/>
      <c r="G12" s="36"/>
      <c r="H12" s="36"/>
      <c r="J12" s="1" t="s">
        <v>111</v>
      </c>
      <c r="K12" s="1">
        <v>1170</v>
      </c>
      <c r="L12" s="1"/>
      <c r="M12" s="1" t="s">
        <v>111</v>
      </c>
      <c r="N12" s="1">
        <v>4550</v>
      </c>
    </row>
    <row r="13" spans="2:14">
      <c r="B13" s="36"/>
      <c r="C13" s="36"/>
      <c r="D13" s="36"/>
      <c r="E13" s="36"/>
      <c r="F13" s="36"/>
      <c r="G13" s="36"/>
      <c r="H13" s="36"/>
      <c r="J13" s="1" t="s">
        <v>91</v>
      </c>
      <c r="K13" s="1">
        <v>585</v>
      </c>
      <c r="L13" s="1"/>
      <c r="M13" s="1" t="s">
        <v>91</v>
      </c>
      <c r="N13" s="1">
        <v>5540</v>
      </c>
    </row>
    <row r="14" spans="2:14" ht="29">
      <c r="B14" s="36"/>
      <c r="C14" s="36"/>
      <c r="D14" s="36"/>
      <c r="E14" s="36"/>
      <c r="F14" s="36"/>
      <c r="G14" s="36"/>
      <c r="H14" s="36"/>
      <c r="J14" s="1" t="s">
        <v>121</v>
      </c>
      <c r="K14" s="1">
        <v>18</v>
      </c>
      <c r="L14" s="1"/>
      <c r="M14" s="1" t="s">
        <v>98</v>
      </c>
      <c r="N14" s="1">
        <v>8090</v>
      </c>
    </row>
    <row r="15" spans="2:14">
      <c r="B15" s="36"/>
      <c r="C15" s="36"/>
      <c r="D15" s="36"/>
      <c r="E15" s="36"/>
      <c r="F15" s="36"/>
      <c r="G15" s="36"/>
      <c r="H15" s="36"/>
      <c r="J15" s="1" t="s">
        <v>118</v>
      </c>
      <c r="K15" s="1">
        <v>15</v>
      </c>
      <c r="L15" s="1"/>
      <c r="M15" s="1" t="s">
        <v>99</v>
      </c>
      <c r="N15" s="1">
        <v>445</v>
      </c>
    </row>
    <row r="16" spans="2:14">
      <c r="B16" s="36"/>
      <c r="C16" s="36"/>
      <c r="D16" s="36"/>
      <c r="E16" s="36"/>
      <c r="F16" s="36"/>
      <c r="G16" s="36"/>
      <c r="H16" s="36"/>
      <c r="J16" s="1" t="s">
        <v>98</v>
      </c>
      <c r="K16" s="1">
        <v>999</v>
      </c>
      <c r="L16" s="1"/>
      <c r="M16" s="1" t="s">
        <v>133</v>
      </c>
      <c r="N16" s="1">
        <v>7834</v>
      </c>
    </row>
    <row r="17" spans="2:14">
      <c r="B17" s="36"/>
      <c r="C17" s="36"/>
      <c r="D17" s="36"/>
      <c r="E17" s="36"/>
      <c r="F17" s="36"/>
      <c r="G17" s="36"/>
      <c r="H17" s="36"/>
      <c r="J17" s="1" t="s">
        <v>99</v>
      </c>
      <c r="K17" s="1">
        <v>16</v>
      </c>
      <c r="L17" s="1"/>
      <c r="M17" s="1" t="s">
        <v>110</v>
      </c>
      <c r="N17" s="1">
        <v>2050</v>
      </c>
    </row>
    <row r="18" spans="2:14">
      <c r="B18" s="36"/>
      <c r="C18" s="36"/>
      <c r="D18" s="36"/>
      <c r="E18" s="36"/>
      <c r="F18" s="36"/>
      <c r="G18" s="36"/>
      <c r="H18" s="36"/>
      <c r="J18" s="1" t="s">
        <v>133</v>
      </c>
      <c r="K18" s="1">
        <v>2336</v>
      </c>
      <c r="L18" s="1"/>
      <c r="M18" s="1" t="s">
        <v>123</v>
      </c>
      <c r="N18" s="1">
        <v>4480</v>
      </c>
    </row>
    <row r="19" spans="2:14">
      <c r="B19" s="36"/>
      <c r="C19" s="36"/>
      <c r="D19" s="36"/>
      <c r="E19" s="36"/>
      <c r="F19" s="36"/>
      <c r="G19" s="36"/>
      <c r="H19" s="36"/>
      <c r="J19" s="1" t="s">
        <v>110</v>
      </c>
      <c r="K19" s="1">
        <v>668</v>
      </c>
      <c r="L19" s="1"/>
      <c r="M19" s="1" t="s">
        <v>130</v>
      </c>
      <c r="N19" s="1">
        <v>6325</v>
      </c>
    </row>
    <row r="20" spans="2:14">
      <c r="B20" s="36"/>
      <c r="C20" s="36"/>
      <c r="D20" s="36"/>
      <c r="E20" s="36"/>
      <c r="F20" s="36"/>
      <c r="G20" s="36"/>
      <c r="H20" s="36"/>
      <c r="J20" s="1" t="s">
        <v>123</v>
      </c>
      <c r="K20" s="1">
        <v>1654</v>
      </c>
      <c r="L20" s="1"/>
      <c r="M20" s="1" t="s">
        <v>106</v>
      </c>
      <c r="N20" s="1">
        <v>1811</v>
      </c>
    </row>
    <row r="21" spans="2:14">
      <c r="J21" s="1" t="s">
        <v>130</v>
      </c>
      <c r="K21" s="1">
        <v>3680</v>
      </c>
      <c r="L21" s="1"/>
      <c r="M21" s="1" t="s">
        <v>120</v>
      </c>
      <c r="N21" s="1">
        <v>4732</v>
      </c>
    </row>
    <row r="22" spans="2:14" ht="29">
      <c r="B22" s="35" t="s">
        <v>146</v>
      </c>
      <c r="C22" s="36"/>
      <c r="D22" s="36"/>
      <c r="E22" s="36"/>
      <c r="F22" s="36"/>
      <c r="G22" s="36"/>
      <c r="H22" s="36"/>
      <c r="J22" s="1" t="s">
        <v>106</v>
      </c>
      <c r="K22" s="1">
        <v>446</v>
      </c>
      <c r="L22" s="1"/>
      <c r="M22" s="1" t="s">
        <v>79</v>
      </c>
      <c r="N22" s="1">
        <v>937</v>
      </c>
    </row>
    <row r="23" spans="2:14">
      <c r="B23" s="36"/>
      <c r="C23" s="36"/>
      <c r="D23" s="36"/>
      <c r="E23" s="36"/>
      <c r="F23" s="36"/>
      <c r="G23" s="36"/>
      <c r="H23" s="36"/>
      <c r="J23" s="1" t="s">
        <v>120</v>
      </c>
      <c r="K23" s="1">
        <v>1630</v>
      </c>
      <c r="L23" s="1"/>
      <c r="M23" s="1" t="s">
        <v>119</v>
      </c>
      <c r="N23" s="1">
        <v>119</v>
      </c>
    </row>
    <row r="24" spans="2:14">
      <c r="B24" s="36"/>
      <c r="C24" s="36"/>
      <c r="D24" s="36"/>
      <c r="E24" s="36"/>
      <c r="F24" s="36"/>
      <c r="G24" s="36"/>
      <c r="H24" s="36"/>
      <c r="J24" s="1" t="s">
        <v>119</v>
      </c>
      <c r="K24" s="1">
        <v>112</v>
      </c>
      <c r="L24" s="1"/>
      <c r="M24" s="1" t="s">
        <v>128</v>
      </c>
      <c r="N24" s="1">
        <v>18039</v>
      </c>
    </row>
    <row r="25" spans="2:14">
      <c r="B25" s="36"/>
      <c r="C25" s="36"/>
      <c r="D25" s="36"/>
      <c r="E25" s="36"/>
      <c r="F25" s="36"/>
      <c r="G25" s="36"/>
      <c r="H25" s="36"/>
      <c r="J25" s="1" t="s">
        <v>128</v>
      </c>
      <c r="K25" s="1">
        <v>7424</v>
      </c>
      <c r="L25" s="1"/>
      <c r="M25" s="1" t="s">
        <v>92</v>
      </c>
      <c r="N25" s="1">
        <v>3525</v>
      </c>
    </row>
    <row r="26" spans="2:14">
      <c r="B26" s="36"/>
      <c r="C26" s="36"/>
      <c r="D26" s="36"/>
      <c r="E26" s="36"/>
      <c r="F26" s="36"/>
      <c r="G26" s="36"/>
      <c r="H26" s="36"/>
      <c r="J26" s="1" t="s">
        <v>92</v>
      </c>
      <c r="K26" s="1">
        <v>105</v>
      </c>
      <c r="L26" s="1"/>
      <c r="M26" s="1" t="s">
        <v>109</v>
      </c>
      <c r="N26" s="1">
        <v>4434</v>
      </c>
    </row>
    <row r="27" spans="2:14">
      <c r="B27" s="36"/>
      <c r="C27" s="36"/>
      <c r="D27" s="36"/>
      <c r="E27" s="36"/>
      <c r="F27" s="36"/>
      <c r="G27" s="36"/>
      <c r="H27" s="36"/>
      <c r="J27" s="1" t="s">
        <v>109</v>
      </c>
      <c r="K27" s="1">
        <v>772</v>
      </c>
      <c r="L27" s="1"/>
      <c r="M27" s="1" t="s">
        <v>102</v>
      </c>
      <c r="N27" s="1">
        <v>4560</v>
      </c>
    </row>
    <row r="28" spans="2:14">
      <c r="B28" s="36"/>
      <c r="C28" s="36"/>
      <c r="D28" s="36"/>
      <c r="E28" s="36"/>
      <c r="F28" s="36"/>
      <c r="G28" s="36"/>
      <c r="H28" s="36"/>
      <c r="J28" s="1" t="s">
        <v>102</v>
      </c>
      <c r="K28" s="1">
        <v>905</v>
      </c>
      <c r="L28" s="1"/>
      <c r="M28" s="1" t="s">
        <v>86</v>
      </c>
      <c r="N28" s="1">
        <v>3761</v>
      </c>
    </row>
    <row r="29" spans="2:14">
      <c r="B29" s="36"/>
      <c r="C29" s="36"/>
      <c r="D29" s="36"/>
      <c r="E29" s="36"/>
      <c r="F29" s="36"/>
      <c r="G29" s="36"/>
      <c r="H29" s="36"/>
      <c r="J29" s="1" t="s">
        <v>107</v>
      </c>
      <c r="K29" s="1">
        <v>11</v>
      </c>
      <c r="L29" s="1"/>
      <c r="M29" s="1" t="s">
        <v>84</v>
      </c>
      <c r="N29" s="1">
        <v>1473</v>
      </c>
    </row>
    <row r="30" spans="2:14" ht="29">
      <c r="B30" s="36"/>
      <c r="C30" s="36"/>
      <c r="D30" s="36"/>
      <c r="E30" s="36"/>
      <c r="F30" s="36"/>
      <c r="G30" s="36"/>
      <c r="H30" s="36"/>
      <c r="J30" s="1" t="s">
        <v>112</v>
      </c>
      <c r="K30" s="1">
        <v>36</v>
      </c>
      <c r="L30" s="1"/>
      <c r="M30" s="1" t="s">
        <v>104</v>
      </c>
      <c r="N30" s="1">
        <v>1253</v>
      </c>
    </row>
    <row r="31" spans="2:14" ht="29">
      <c r="B31" s="36"/>
      <c r="C31" s="36"/>
      <c r="D31" s="36"/>
      <c r="E31" s="36"/>
      <c r="F31" s="36"/>
      <c r="G31" s="36"/>
      <c r="H31" s="36"/>
      <c r="J31" s="1" t="s">
        <v>100</v>
      </c>
      <c r="K31" s="1">
        <v>19</v>
      </c>
      <c r="L31" s="1"/>
      <c r="M31" s="1" t="s">
        <v>101</v>
      </c>
      <c r="N31" s="1">
        <v>1092</v>
      </c>
    </row>
    <row r="32" spans="2:14" ht="29">
      <c r="B32" s="36"/>
      <c r="C32" s="36"/>
      <c r="D32" s="36"/>
      <c r="E32" s="36"/>
      <c r="F32" s="36"/>
      <c r="G32" s="36"/>
      <c r="H32" s="36"/>
      <c r="J32" s="1" t="s">
        <v>104</v>
      </c>
      <c r="K32" s="1">
        <v>371</v>
      </c>
      <c r="L32" s="1"/>
      <c r="M32" s="1" t="s">
        <v>83</v>
      </c>
      <c r="N32" s="1">
        <v>658</v>
      </c>
    </row>
    <row r="33" spans="2:14">
      <c r="B33" s="36"/>
      <c r="C33" s="36"/>
      <c r="D33" s="36"/>
      <c r="E33" s="36"/>
      <c r="F33" s="36"/>
      <c r="G33" s="36"/>
      <c r="H33" s="36"/>
      <c r="J33" s="1" t="s">
        <v>108</v>
      </c>
      <c r="K33" s="1">
        <v>15</v>
      </c>
      <c r="L33" s="1"/>
      <c r="M33" s="1" t="s">
        <v>115</v>
      </c>
      <c r="N33" s="1">
        <v>7820</v>
      </c>
    </row>
    <row r="34" spans="2:14">
      <c r="B34" s="36"/>
      <c r="C34" s="36"/>
      <c r="D34" s="36"/>
      <c r="E34" s="36"/>
      <c r="F34" s="36"/>
      <c r="G34" s="36"/>
      <c r="H34" s="36"/>
      <c r="J34" s="1" t="s">
        <v>101</v>
      </c>
      <c r="K34" s="1">
        <v>237</v>
      </c>
      <c r="L34" s="1"/>
      <c r="M34" s="1" t="s">
        <v>70</v>
      </c>
      <c r="N34" s="1">
        <v>299</v>
      </c>
    </row>
    <row r="35" spans="2:14">
      <c r="J35" s="1" t="s">
        <v>117</v>
      </c>
      <c r="K35" s="1">
        <v>89</v>
      </c>
      <c r="L35" s="1"/>
      <c r="M35" s="1" t="s">
        <v>116</v>
      </c>
      <c r="N35" s="1">
        <v>5005</v>
      </c>
    </row>
    <row r="36" spans="2:14">
      <c r="B36" s="9" t="s">
        <v>151</v>
      </c>
      <c r="C36" s="9"/>
      <c r="D36" s="9"/>
      <c r="E36" s="9"/>
      <c r="F36" s="9"/>
      <c r="G36" s="9"/>
      <c r="J36" s="1" t="s">
        <v>105</v>
      </c>
      <c r="K36" s="1">
        <v>12</v>
      </c>
      <c r="L36" s="1"/>
      <c r="M36" s="1" t="s">
        <v>127</v>
      </c>
      <c r="N36" s="1">
        <v>7269</v>
      </c>
    </row>
    <row r="37" spans="2:14" ht="29">
      <c r="B37" s="11" t="s">
        <v>88</v>
      </c>
      <c r="J37" s="1" t="s">
        <v>113</v>
      </c>
      <c r="K37" s="1">
        <v>3</v>
      </c>
      <c r="L37" s="1"/>
      <c r="M37" s="1" t="s">
        <v>80</v>
      </c>
      <c r="N37" s="1">
        <v>1532</v>
      </c>
    </row>
    <row r="38" spans="2:14">
      <c r="B38" s="11" t="s">
        <v>94</v>
      </c>
      <c r="J38" s="1" t="s">
        <v>115</v>
      </c>
      <c r="K38" s="1">
        <v>2201</v>
      </c>
      <c r="L38" s="1"/>
      <c r="M38" s="1" t="s">
        <v>93</v>
      </c>
      <c r="N38" s="1">
        <v>173</v>
      </c>
    </row>
    <row r="39" spans="2:14">
      <c r="B39" s="11" t="s">
        <v>103</v>
      </c>
      <c r="J39" s="1" t="s">
        <v>124</v>
      </c>
      <c r="K39" s="1">
        <v>111</v>
      </c>
      <c r="L39" s="1"/>
      <c r="M39" s="1" t="s">
        <v>97</v>
      </c>
      <c r="N39" s="1">
        <v>2110</v>
      </c>
    </row>
    <row r="40" spans="2:14">
      <c r="B40" s="11" t="s">
        <v>122</v>
      </c>
      <c r="J40" s="1" t="s">
        <v>116</v>
      </c>
      <c r="K40" s="1">
        <v>1267</v>
      </c>
      <c r="L40" s="1"/>
      <c r="M40" s="1" t="s">
        <v>74</v>
      </c>
      <c r="N40" s="1">
        <v>936</v>
      </c>
    </row>
    <row r="41" spans="2:14">
      <c r="B41" s="11" t="s">
        <v>121</v>
      </c>
      <c r="J41" s="1" t="s">
        <v>127</v>
      </c>
      <c r="K41" s="1">
        <v>3351</v>
      </c>
      <c r="L41" s="1"/>
      <c r="M41" s="1" t="s">
        <v>75</v>
      </c>
      <c r="N41" s="1">
        <v>478</v>
      </c>
    </row>
    <row r="42" spans="2:14">
      <c r="B42" s="11" t="s">
        <v>118</v>
      </c>
      <c r="J42" s="1" t="s">
        <v>93</v>
      </c>
      <c r="K42" s="1">
        <v>23</v>
      </c>
      <c r="L42" s="1"/>
      <c r="M42" s="1" t="s">
        <v>96</v>
      </c>
      <c r="N42" s="1">
        <v>4689</v>
      </c>
    </row>
    <row r="43" spans="2:14">
      <c r="B43" s="11" t="s">
        <v>107</v>
      </c>
      <c r="J43" s="1" t="s">
        <v>97</v>
      </c>
      <c r="K43" s="1">
        <v>277</v>
      </c>
      <c r="L43" s="1"/>
      <c r="M43" s="1" t="s">
        <v>129</v>
      </c>
      <c r="N43" s="1">
        <v>19893</v>
      </c>
    </row>
    <row r="44" spans="2:14" ht="29">
      <c r="B44" s="11" t="s">
        <v>112</v>
      </c>
      <c r="J44" s="1" t="s">
        <v>96</v>
      </c>
      <c r="K44" s="1">
        <v>887</v>
      </c>
      <c r="L44" s="1"/>
      <c r="M44" s="1" t="s">
        <v>82</v>
      </c>
      <c r="N44" s="1">
        <v>903</v>
      </c>
    </row>
    <row r="45" spans="2:14">
      <c r="B45" s="11" t="s">
        <v>100</v>
      </c>
      <c r="J45" s="1" t="s">
        <v>129</v>
      </c>
      <c r="K45" s="1">
        <v>2703</v>
      </c>
      <c r="L45" s="1"/>
      <c r="M45" s="1" t="s">
        <v>81</v>
      </c>
      <c r="N45" s="1">
        <v>1948</v>
      </c>
    </row>
    <row r="46" spans="2:14">
      <c r="B46" s="11" t="s">
        <v>108</v>
      </c>
      <c r="J46" s="1" t="s">
        <v>132</v>
      </c>
      <c r="K46" s="1">
        <v>711</v>
      </c>
      <c r="L46" s="1"/>
      <c r="M46" s="1" t="s">
        <v>73</v>
      </c>
      <c r="N46" s="1">
        <v>606</v>
      </c>
    </row>
    <row r="47" spans="2:14">
      <c r="B47" s="11" t="s">
        <v>117</v>
      </c>
      <c r="J47" s="1" t="s">
        <v>125</v>
      </c>
      <c r="K47" s="1">
        <v>125</v>
      </c>
      <c r="L47" s="1"/>
      <c r="M47" s="1" t="s">
        <v>132</v>
      </c>
      <c r="N47" s="1">
        <v>2020</v>
      </c>
    </row>
    <row r="48" spans="2:14">
      <c r="B48" s="11" t="s">
        <v>105</v>
      </c>
      <c r="J48" s="1" t="s">
        <v>126</v>
      </c>
      <c r="K48" s="1">
        <v>896</v>
      </c>
      <c r="L48" s="1"/>
      <c r="M48" s="1" t="s">
        <v>72</v>
      </c>
      <c r="N48" s="1">
        <v>152</v>
      </c>
    </row>
    <row r="49" spans="2:14">
      <c r="B49" s="11" t="s">
        <v>113</v>
      </c>
      <c r="J49" s="1" t="s">
        <v>134</v>
      </c>
      <c r="K49" s="1">
        <v>598</v>
      </c>
      <c r="L49" s="1"/>
      <c r="M49" s="1" t="s">
        <v>71</v>
      </c>
      <c r="N49" s="1">
        <v>529</v>
      </c>
    </row>
    <row r="50" spans="2:14">
      <c r="B50" s="11" t="s">
        <v>124</v>
      </c>
      <c r="J50" s="1" t="s">
        <v>135</v>
      </c>
      <c r="K50" s="1">
        <v>1540</v>
      </c>
      <c r="L50" s="1"/>
      <c r="M50" s="1" t="s">
        <v>85</v>
      </c>
      <c r="N50" s="1">
        <v>3390</v>
      </c>
    </row>
    <row r="51" spans="2:14">
      <c r="B51" s="11" t="s">
        <v>125</v>
      </c>
      <c r="M51" s="1" t="s">
        <v>126</v>
      </c>
      <c r="N51" s="1">
        <v>2746</v>
      </c>
    </row>
    <row r="52" spans="2:14">
      <c r="B52" s="11" t="s">
        <v>108</v>
      </c>
      <c r="M52" s="1" t="s">
        <v>134</v>
      </c>
      <c r="N52" s="1">
        <v>3127</v>
      </c>
    </row>
    <row r="53" spans="2:14">
      <c r="B53" s="11" t="s">
        <v>117</v>
      </c>
      <c r="M53" s="1" t="s">
        <v>135</v>
      </c>
      <c r="N53" s="1">
        <v>5110</v>
      </c>
    </row>
    <row r="54" spans="2:14">
      <c r="B54" s="11" t="s">
        <v>105</v>
      </c>
    </row>
    <row r="55" spans="2:14">
      <c r="B55" s="11" t="s">
        <v>113</v>
      </c>
      <c r="J55" s="10" t="s">
        <v>150</v>
      </c>
      <c r="K55" s="10" t="s">
        <v>149</v>
      </c>
    </row>
    <row r="56" spans="2:14">
      <c r="B56" s="11" t="s">
        <v>124</v>
      </c>
      <c r="J56" t="s">
        <v>88</v>
      </c>
      <c r="K56" t="s">
        <v>148</v>
      </c>
    </row>
    <row r="57" spans="2:14">
      <c r="B57" s="11" t="s">
        <v>125</v>
      </c>
      <c r="J57" t="s">
        <v>89</v>
      </c>
      <c r="K57" t="s">
        <v>89</v>
      </c>
    </row>
    <row r="58" spans="2:14">
      <c r="J58" t="s">
        <v>94</v>
      </c>
      <c r="K58" t="s">
        <v>148</v>
      </c>
    </row>
    <row r="59" spans="2:14">
      <c r="J59" t="s">
        <v>114</v>
      </c>
      <c r="K59" t="s">
        <v>114</v>
      </c>
    </row>
    <row r="60" spans="2:14">
      <c r="J60" t="s">
        <v>103</v>
      </c>
      <c r="K60" t="s">
        <v>148</v>
      </c>
    </row>
    <row r="61" spans="2:14">
      <c r="J61" t="s">
        <v>131</v>
      </c>
      <c r="K61" t="s">
        <v>131</v>
      </c>
    </row>
    <row r="62" spans="2:14">
      <c r="J62" t="s">
        <v>90</v>
      </c>
      <c r="K62" t="s">
        <v>90</v>
      </c>
    </row>
    <row r="63" spans="2:14">
      <c r="J63" t="s">
        <v>122</v>
      </c>
      <c r="K63" t="s">
        <v>148</v>
      </c>
    </row>
    <row r="64" spans="2:14">
      <c r="J64" t="s">
        <v>95</v>
      </c>
      <c r="K64" t="s">
        <v>95</v>
      </c>
    </row>
    <row r="65" spans="10:11">
      <c r="J65" t="s">
        <v>111</v>
      </c>
      <c r="K65" t="s">
        <v>111</v>
      </c>
    </row>
    <row r="66" spans="10:11">
      <c r="J66" t="s">
        <v>91</v>
      </c>
      <c r="K66" t="s">
        <v>91</v>
      </c>
    </row>
    <row r="67" spans="10:11">
      <c r="J67" t="s">
        <v>121</v>
      </c>
      <c r="K67" t="s">
        <v>148</v>
      </c>
    </row>
    <row r="68" spans="10:11">
      <c r="J68" t="s">
        <v>118</v>
      </c>
      <c r="K68" t="s">
        <v>148</v>
      </c>
    </row>
    <row r="69" spans="10:11">
      <c r="J69" t="s">
        <v>98</v>
      </c>
      <c r="K69" t="s">
        <v>98</v>
      </c>
    </row>
    <row r="70" spans="10:11">
      <c r="J70" t="s">
        <v>99</v>
      </c>
      <c r="K70" t="s">
        <v>99</v>
      </c>
    </row>
    <row r="71" spans="10:11">
      <c r="J71" t="s">
        <v>133</v>
      </c>
      <c r="K71" t="s">
        <v>133</v>
      </c>
    </row>
    <row r="72" spans="10:11">
      <c r="J72" t="s">
        <v>110</v>
      </c>
      <c r="K72" t="s">
        <v>110</v>
      </c>
    </row>
    <row r="73" spans="10:11">
      <c r="J73" t="s">
        <v>123</v>
      </c>
      <c r="K73" t="s">
        <v>123</v>
      </c>
    </row>
    <row r="74" spans="10:11">
      <c r="J74" t="s">
        <v>130</v>
      </c>
      <c r="K74" t="s">
        <v>130</v>
      </c>
    </row>
    <row r="75" spans="10:11">
      <c r="J75" t="s">
        <v>106</v>
      </c>
      <c r="K75" t="s">
        <v>106</v>
      </c>
    </row>
    <row r="76" spans="10:11">
      <c r="J76" t="s">
        <v>120</v>
      </c>
      <c r="K76" t="s">
        <v>120</v>
      </c>
    </row>
    <row r="77" spans="10:11">
      <c r="J77" t="s">
        <v>119</v>
      </c>
      <c r="K77" t="s">
        <v>119</v>
      </c>
    </row>
    <row r="78" spans="10:11">
      <c r="J78" t="s">
        <v>128</v>
      </c>
      <c r="K78" t="s">
        <v>128</v>
      </c>
    </row>
    <row r="79" spans="10:11">
      <c r="J79" t="s">
        <v>92</v>
      </c>
      <c r="K79" t="s">
        <v>92</v>
      </c>
    </row>
    <row r="80" spans="10:11">
      <c r="J80" t="s">
        <v>109</v>
      </c>
      <c r="K80" t="s">
        <v>109</v>
      </c>
    </row>
    <row r="81" spans="10:11">
      <c r="J81" t="s">
        <v>102</v>
      </c>
      <c r="K81" t="s">
        <v>102</v>
      </c>
    </row>
    <row r="82" spans="10:11">
      <c r="J82" t="s">
        <v>107</v>
      </c>
      <c r="K82" t="s">
        <v>148</v>
      </c>
    </row>
    <row r="83" spans="10:11">
      <c r="J83" t="s">
        <v>112</v>
      </c>
      <c r="K83" t="s">
        <v>148</v>
      </c>
    </row>
    <row r="84" spans="10:11">
      <c r="J84" t="s">
        <v>100</v>
      </c>
      <c r="K84" t="s">
        <v>148</v>
      </c>
    </row>
    <row r="85" spans="10:11">
      <c r="J85" t="s">
        <v>104</v>
      </c>
      <c r="K85" t="s">
        <v>104</v>
      </c>
    </row>
    <row r="86" spans="10:11">
      <c r="J86" t="s">
        <v>108</v>
      </c>
      <c r="K86" t="s">
        <v>148</v>
      </c>
    </row>
    <row r="87" spans="10:11">
      <c r="J87" t="s">
        <v>101</v>
      </c>
      <c r="K87" t="s">
        <v>101</v>
      </c>
    </row>
    <row r="88" spans="10:11">
      <c r="J88" t="s">
        <v>117</v>
      </c>
      <c r="K88" t="s">
        <v>148</v>
      </c>
    </row>
    <row r="89" spans="10:11">
      <c r="J89" t="s">
        <v>105</v>
      </c>
      <c r="K89" t="s">
        <v>148</v>
      </c>
    </row>
    <row r="90" spans="10:11">
      <c r="J90" t="s">
        <v>113</v>
      </c>
      <c r="K90" t="s">
        <v>148</v>
      </c>
    </row>
    <row r="91" spans="10:11">
      <c r="J91" t="s">
        <v>115</v>
      </c>
      <c r="K91" t="s">
        <v>115</v>
      </c>
    </row>
    <row r="92" spans="10:11">
      <c r="J92" t="s">
        <v>124</v>
      </c>
      <c r="K92" t="s">
        <v>148</v>
      </c>
    </row>
    <row r="93" spans="10:11">
      <c r="J93" t="s">
        <v>116</v>
      </c>
      <c r="K93" t="s">
        <v>116</v>
      </c>
    </row>
    <row r="94" spans="10:11">
      <c r="J94" t="s">
        <v>127</v>
      </c>
      <c r="K94" t="s">
        <v>127</v>
      </c>
    </row>
    <row r="95" spans="10:11">
      <c r="J95" t="s">
        <v>93</v>
      </c>
      <c r="K95" t="s">
        <v>93</v>
      </c>
    </row>
    <row r="96" spans="10:11">
      <c r="J96" t="s">
        <v>97</v>
      </c>
      <c r="K96" t="s">
        <v>97</v>
      </c>
    </row>
    <row r="97" spans="10:11">
      <c r="J97" t="s">
        <v>96</v>
      </c>
      <c r="K97" t="s">
        <v>96</v>
      </c>
    </row>
    <row r="98" spans="10:11">
      <c r="J98" t="s">
        <v>129</v>
      </c>
      <c r="K98" t="s">
        <v>129</v>
      </c>
    </row>
    <row r="99" spans="10:11">
      <c r="J99" t="s">
        <v>132</v>
      </c>
      <c r="K99" t="s">
        <v>132</v>
      </c>
    </row>
    <row r="100" spans="10:11">
      <c r="J100" t="s">
        <v>125</v>
      </c>
      <c r="K100" t="s">
        <v>148</v>
      </c>
    </row>
    <row r="101" spans="10:11">
      <c r="J101" t="s">
        <v>126</v>
      </c>
      <c r="K101" t="s">
        <v>126</v>
      </c>
    </row>
    <row r="102" spans="10:11">
      <c r="J102" t="s">
        <v>134</v>
      </c>
      <c r="K102" t="s">
        <v>134</v>
      </c>
    </row>
    <row r="103" spans="10:11">
      <c r="J103" t="s">
        <v>135</v>
      </c>
      <c r="K103" t="s">
        <v>135</v>
      </c>
    </row>
    <row r="104" spans="10:11">
      <c r="J104" t="s">
        <v>108</v>
      </c>
      <c r="K104" t="s">
        <v>148</v>
      </c>
    </row>
    <row r="105" spans="10:11">
      <c r="J105" t="s">
        <v>101</v>
      </c>
      <c r="K105" t="s">
        <v>101</v>
      </c>
    </row>
    <row r="106" spans="10:11">
      <c r="J106" t="s">
        <v>117</v>
      </c>
      <c r="K106" t="s">
        <v>148</v>
      </c>
    </row>
    <row r="107" spans="10:11">
      <c r="J107" t="s">
        <v>105</v>
      </c>
      <c r="K107" t="s">
        <v>148</v>
      </c>
    </row>
    <row r="108" spans="10:11">
      <c r="J108" t="s">
        <v>113</v>
      </c>
      <c r="K108" t="s">
        <v>148</v>
      </c>
    </row>
    <row r="109" spans="10:11">
      <c r="J109" t="s">
        <v>115</v>
      </c>
      <c r="K109" t="s">
        <v>115</v>
      </c>
    </row>
    <row r="110" spans="10:11">
      <c r="J110" t="s">
        <v>124</v>
      </c>
      <c r="K110" t="s">
        <v>148</v>
      </c>
    </row>
    <row r="111" spans="10:11">
      <c r="J111" t="s">
        <v>116</v>
      </c>
      <c r="K111" t="s">
        <v>116</v>
      </c>
    </row>
    <row r="112" spans="10:11">
      <c r="J112" t="s">
        <v>127</v>
      </c>
      <c r="K112" t="s">
        <v>127</v>
      </c>
    </row>
    <row r="113" spans="10:11">
      <c r="J113" t="s">
        <v>93</v>
      </c>
      <c r="K113" t="s">
        <v>93</v>
      </c>
    </row>
    <row r="114" spans="10:11">
      <c r="J114" t="s">
        <v>97</v>
      </c>
      <c r="K114" t="s">
        <v>97</v>
      </c>
    </row>
    <row r="115" spans="10:11">
      <c r="J115" t="s">
        <v>96</v>
      </c>
      <c r="K115" t="s">
        <v>96</v>
      </c>
    </row>
    <row r="116" spans="10:11">
      <c r="J116" t="s">
        <v>129</v>
      </c>
      <c r="K116" t="s">
        <v>129</v>
      </c>
    </row>
    <row r="117" spans="10:11">
      <c r="J117" t="s">
        <v>132</v>
      </c>
      <c r="K117" t="s">
        <v>132</v>
      </c>
    </row>
    <row r="118" spans="10:11">
      <c r="J118" t="s">
        <v>125</v>
      </c>
      <c r="K118" t="s">
        <v>148</v>
      </c>
    </row>
    <row r="119" spans="10:11">
      <c r="J119" t="s">
        <v>126</v>
      </c>
      <c r="K119" t="s">
        <v>126</v>
      </c>
    </row>
    <row r="120" spans="10:11">
      <c r="J120" t="s">
        <v>134</v>
      </c>
      <c r="K120" t="s">
        <v>134</v>
      </c>
    </row>
    <row r="121" spans="10:11">
      <c r="J121" t="s">
        <v>135</v>
      </c>
      <c r="K121" t="s">
        <v>135</v>
      </c>
    </row>
  </sheetData>
  <mergeCells count="3">
    <mergeCell ref="B2:H3"/>
    <mergeCell ref="B5:H20"/>
    <mergeCell ref="B22:H34"/>
  </mergeCells>
  <conditionalFormatting sqref="C59:C102">
    <cfRule type="containsText" dxfId="4" priority="3" operator="containsText" text="n/a">
      <formula>NOT(ISERROR(SEARCH("n/a",C59)))</formula>
    </cfRule>
  </conditionalFormatting>
  <conditionalFormatting sqref="K56:K121">
    <cfRule type="containsText" dxfId="3" priority="2" operator="containsText" text="n/a">
      <formula>NOT(ISERROR(SEARCH("n/a",K56)))</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B65D-A5B8-42FC-9F2D-D5BAC1A80F43}">
  <dimension ref="B2:N23"/>
  <sheetViews>
    <sheetView topLeftCell="B1" workbookViewId="0">
      <selection activeCell="J24" sqref="J24"/>
    </sheetView>
  </sheetViews>
  <sheetFormatPr defaultRowHeight="14.5"/>
  <cols>
    <col min="10" max="10" width="13.81640625" customWidth="1"/>
    <col min="11" max="11" width="13.453125" customWidth="1"/>
    <col min="12" max="12" width="20.7265625" customWidth="1"/>
  </cols>
  <sheetData>
    <row r="2" spans="2:14">
      <c r="B2" s="36" t="s">
        <v>152</v>
      </c>
      <c r="C2" s="36"/>
      <c r="D2" s="36"/>
      <c r="E2" s="36"/>
      <c r="F2" s="36"/>
      <c r="G2" s="36"/>
      <c r="H2" s="36"/>
      <c r="J2" t="s">
        <v>158</v>
      </c>
      <c r="K2" t="s">
        <v>159</v>
      </c>
      <c r="L2" t="s">
        <v>160</v>
      </c>
    </row>
    <row r="3" spans="2:14">
      <c r="B3" s="36"/>
      <c r="C3" s="36"/>
      <c r="D3" s="36"/>
      <c r="E3" s="36"/>
      <c r="F3" s="36"/>
      <c r="G3" s="36"/>
      <c r="H3" s="36"/>
      <c r="J3" s="1" t="s">
        <v>153</v>
      </c>
      <c r="K3" s="1" t="s">
        <v>131</v>
      </c>
      <c r="L3" s="1">
        <v>1</v>
      </c>
    </row>
    <row r="4" spans="2:14">
      <c r="J4" s="1" t="s">
        <v>154</v>
      </c>
      <c r="K4" s="1" t="s">
        <v>131</v>
      </c>
      <c r="L4" s="1">
        <v>1</v>
      </c>
    </row>
    <row r="5" spans="2:14">
      <c r="B5" s="39" t="s">
        <v>161</v>
      </c>
      <c r="C5" s="40"/>
      <c r="D5" s="40"/>
      <c r="E5" s="40"/>
      <c r="F5" s="40"/>
      <c r="G5" s="40"/>
      <c r="H5" s="40"/>
      <c r="J5" s="1" t="s">
        <v>155</v>
      </c>
      <c r="K5" s="1" t="s">
        <v>131</v>
      </c>
      <c r="L5" s="1">
        <v>1</v>
      </c>
    </row>
    <row r="6" spans="2:14">
      <c r="B6" s="40"/>
      <c r="C6" s="40"/>
      <c r="D6" s="40"/>
      <c r="E6" s="40"/>
      <c r="F6" s="40"/>
      <c r="G6" s="40"/>
      <c r="H6" s="40"/>
      <c r="J6" s="1" t="s">
        <v>156</v>
      </c>
      <c r="K6" s="1" t="s">
        <v>131</v>
      </c>
      <c r="L6" s="1">
        <v>1</v>
      </c>
    </row>
    <row r="7" spans="2:14" ht="29">
      <c r="B7" s="40"/>
      <c r="C7" s="40"/>
      <c r="D7" s="40"/>
      <c r="E7" s="40"/>
      <c r="F7" s="40"/>
      <c r="G7" s="40"/>
      <c r="H7" s="40"/>
      <c r="J7" s="1" t="s">
        <v>157</v>
      </c>
      <c r="K7" s="1" t="s">
        <v>131</v>
      </c>
      <c r="L7" s="1">
        <v>1</v>
      </c>
    </row>
    <row r="8" spans="2:14">
      <c r="B8" s="40"/>
      <c r="C8" s="40"/>
      <c r="D8" s="40"/>
      <c r="E8" s="40"/>
      <c r="F8" s="40"/>
      <c r="G8" s="40"/>
      <c r="H8" s="40"/>
    </row>
    <row r="9" spans="2:14" ht="14.5" customHeight="1">
      <c r="B9" s="40"/>
      <c r="C9" s="40"/>
      <c r="D9" s="40"/>
      <c r="E9" s="40"/>
      <c r="F9" s="40"/>
      <c r="G9" s="40"/>
      <c r="H9" s="40"/>
    </row>
    <row r="10" spans="2:14">
      <c r="B10" s="40"/>
      <c r="C10" s="40"/>
      <c r="D10" s="40"/>
      <c r="E10" s="40"/>
      <c r="F10" s="40"/>
      <c r="G10" s="40"/>
      <c r="H10" s="40"/>
      <c r="J10" s="41" t="s">
        <v>162</v>
      </c>
      <c r="K10" s="41"/>
      <c r="L10" s="41"/>
      <c r="M10" s="41"/>
      <c r="N10" s="41"/>
    </row>
    <row r="11" spans="2:14">
      <c r="B11" s="40"/>
      <c r="C11" s="40"/>
      <c r="D11" s="40"/>
      <c r="E11" s="40"/>
      <c r="F11" s="40"/>
      <c r="G11" s="40"/>
      <c r="H11" s="40"/>
      <c r="J11" s="41"/>
      <c r="K11" s="41"/>
      <c r="L11" s="41"/>
      <c r="M11" s="41"/>
      <c r="N11" s="41"/>
    </row>
    <row r="12" spans="2:14">
      <c r="B12" s="40"/>
      <c r="C12" s="40"/>
      <c r="D12" s="40"/>
      <c r="E12" s="40"/>
      <c r="F12" s="40"/>
      <c r="G12" s="40"/>
      <c r="H12" s="40"/>
      <c r="J12" s="41"/>
      <c r="K12" s="41"/>
      <c r="L12" s="41"/>
      <c r="M12" s="41"/>
      <c r="N12" s="41"/>
    </row>
    <row r="13" spans="2:14">
      <c r="B13" s="40"/>
      <c r="C13" s="40"/>
      <c r="D13" s="40"/>
      <c r="E13" s="40"/>
      <c r="F13" s="40"/>
      <c r="G13" s="40"/>
      <c r="H13" s="40"/>
      <c r="J13" s="41"/>
      <c r="K13" s="41"/>
      <c r="L13" s="41"/>
      <c r="M13" s="41"/>
      <c r="N13" s="41"/>
    </row>
    <row r="14" spans="2:14">
      <c r="B14" s="40"/>
      <c r="C14" s="40"/>
      <c r="D14" s="40"/>
      <c r="E14" s="40"/>
      <c r="F14" s="40"/>
      <c r="G14" s="40"/>
      <c r="H14" s="40"/>
      <c r="J14" s="41"/>
      <c r="K14" s="41"/>
      <c r="L14" s="41"/>
      <c r="M14" s="41"/>
      <c r="N14" s="41"/>
    </row>
    <row r="15" spans="2:14">
      <c r="B15" s="40"/>
      <c r="C15" s="40"/>
      <c r="D15" s="40"/>
      <c r="E15" s="40"/>
      <c r="F15" s="40"/>
      <c r="G15" s="40"/>
      <c r="H15" s="40"/>
      <c r="J15" s="41"/>
      <c r="K15" s="41"/>
      <c r="L15" s="41"/>
      <c r="M15" s="41"/>
      <c r="N15" s="41"/>
    </row>
    <row r="16" spans="2:14">
      <c r="B16" s="40"/>
      <c r="C16" s="40"/>
      <c r="D16" s="40"/>
      <c r="E16" s="40"/>
      <c r="F16" s="40"/>
      <c r="G16" s="40"/>
      <c r="H16" s="40"/>
      <c r="J16" s="41"/>
      <c r="K16" s="41"/>
      <c r="L16" s="41"/>
      <c r="M16" s="41"/>
      <c r="N16" s="41"/>
    </row>
    <row r="17" spans="2:14">
      <c r="B17" s="40"/>
      <c r="C17" s="40"/>
      <c r="D17" s="40"/>
      <c r="E17" s="40"/>
      <c r="F17" s="40"/>
      <c r="G17" s="40"/>
      <c r="H17" s="40"/>
      <c r="J17" s="41"/>
      <c r="K17" s="41"/>
      <c r="L17" s="41"/>
      <c r="M17" s="41"/>
      <c r="N17" s="41"/>
    </row>
    <row r="18" spans="2:14">
      <c r="B18" s="40"/>
      <c r="C18" s="40"/>
      <c r="D18" s="40"/>
      <c r="E18" s="40"/>
      <c r="F18" s="40"/>
      <c r="G18" s="40"/>
      <c r="H18" s="40"/>
    </row>
    <row r="19" spans="2:14">
      <c r="B19" s="40"/>
      <c r="C19" s="40"/>
      <c r="D19" s="40"/>
      <c r="E19" s="40"/>
      <c r="F19" s="40"/>
      <c r="G19" s="40"/>
      <c r="H19" s="40"/>
    </row>
    <row r="20" spans="2:14">
      <c r="B20" s="40"/>
      <c r="C20" s="40"/>
      <c r="D20" s="40"/>
      <c r="E20" s="40"/>
      <c r="F20" s="40"/>
      <c r="G20" s="40"/>
      <c r="H20" s="40"/>
    </row>
    <row r="21" spans="2:14">
      <c r="B21" s="40"/>
      <c r="C21" s="40"/>
      <c r="D21" s="40"/>
      <c r="E21" s="40"/>
      <c r="F21" s="40"/>
      <c r="G21" s="40"/>
      <c r="H21" s="40"/>
    </row>
    <row r="22" spans="2:14">
      <c r="B22" s="40"/>
      <c r="C22" s="40"/>
      <c r="D22" s="40"/>
      <c r="E22" s="40"/>
      <c r="F22" s="40"/>
      <c r="G22" s="40"/>
      <c r="H22" s="40"/>
    </row>
    <row r="23" spans="2:14">
      <c r="B23" s="12"/>
    </row>
  </sheetData>
  <mergeCells count="3">
    <mergeCell ref="B2:H3"/>
    <mergeCell ref="B5:H22"/>
    <mergeCell ref="J10:N17"/>
  </mergeCell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FC6F-9C32-4F4D-ADE7-5E037B3AF257}">
  <dimension ref="B2:M67"/>
  <sheetViews>
    <sheetView workbookViewId="0">
      <selection activeCell="N4" sqref="N4"/>
    </sheetView>
  </sheetViews>
  <sheetFormatPr defaultRowHeight="14.5"/>
  <cols>
    <col min="11" max="11" width="14.6328125" customWidth="1"/>
    <col min="12" max="12" width="18.90625" customWidth="1"/>
    <col min="13" max="13" width="20.54296875" customWidth="1"/>
  </cols>
  <sheetData>
    <row r="2" spans="2:13">
      <c r="B2" s="42" t="s">
        <v>163</v>
      </c>
      <c r="C2" s="42"/>
      <c r="D2" s="42"/>
      <c r="E2" s="42"/>
      <c r="F2" s="42"/>
      <c r="G2" s="42"/>
      <c r="H2" s="42"/>
      <c r="I2" s="42"/>
      <c r="K2" s="14" t="s">
        <v>136</v>
      </c>
      <c r="L2" s="15" t="s">
        <v>165</v>
      </c>
      <c r="M2" s="16" t="s">
        <v>166</v>
      </c>
    </row>
    <row r="3" spans="2:13">
      <c r="B3" s="42"/>
      <c r="C3" s="42"/>
      <c r="D3" s="42"/>
      <c r="E3" s="42"/>
      <c r="F3" s="42"/>
      <c r="G3" s="42"/>
      <c r="H3" s="42"/>
      <c r="I3" s="42"/>
      <c r="K3" s="17" t="s">
        <v>90</v>
      </c>
      <c r="L3" s="18">
        <v>3078</v>
      </c>
      <c r="M3" s="19">
        <v>1256</v>
      </c>
    </row>
    <row r="4" spans="2:13">
      <c r="K4" s="20" t="s">
        <v>86</v>
      </c>
      <c r="L4" s="21">
        <v>2668</v>
      </c>
      <c r="M4" s="22">
        <v>1093</v>
      </c>
    </row>
    <row r="5" spans="2:13">
      <c r="B5" s="43" t="s">
        <v>164</v>
      </c>
      <c r="C5" s="38"/>
      <c r="D5" s="38"/>
      <c r="E5" s="38"/>
      <c r="F5" s="38"/>
      <c r="G5" s="38"/>
      <c r="H5" s="38"/>
      <c r="I5" s="38"/>
      <c r="K5" s="17" t="s">
        <v>120</v>
      </c>
      <c r="L5" s="18">
        <v>5353</v>
      </c>
      <c r="M5" s="19">
        <v>1009</v>
      </c>
    </row>
    <row r="6" spans="2:13">
      <c r="B6" s="38"/>
      <c r="C6" s="38"/>
      <c r="D6" s="38"/>
      <c r="E6" s="38"/>
      <c r="F6" s="38"/>
      <c r="G6" s="38"/>
      <c r="H6" s="38"/>
      <c r="I6" s="38"/>
      <c r="K6" s="20" t="s">
        <v>125</v>
      </c>
      <c r="L6" s="21">
        <v>125</v>
      </c>
      <c r="M6" s="22">
        <v>0</v>
      </c>
    </row>
    <row r="7" spans="2:13">
      <c r="B7" s="38"/>
      <c r="C7" s="38"/>
      <c r="D7" s="38"/>
      <c r="E7" s="38"/>
      <c r="F7" s="38"/>
      <c r="G7" s="38"/>
      <c r="H7" s="38"/>
      <c r="I7" s="38"/>
      <c r="K7" s="17" t="s">
        <v>96</v>
      </c>
      <c r="L7" s="18">
        <v>3499</v>
      </c>
      <c r="M7" s="19">
        <v>2077</v>
      </c>
    </row>
    <row r="8" spans="2:13" ht="29">
      <c r="B8" s="38"/>
      <c r="C8" s="38"/>
      <c r="D8" s="38"/>
      <c r="E8" s="38"/>
      <c r="F8" s="38"/>
      <c r="G8" s="38"/>
      <c r="H8" s="38"/>
      <c r="I8" s="38"/>
      <c r="K8" s="20" t="s">
        <v>98</v>
      </c>
      <c r="L8" s="21">
        <v>5704</v>
      </c>
      <c r="M8" s="22">
        <v>3385</v>
      </c>
    </row>
    <row r="9" spans="2:13">
      <c r="B9" s="38"/>
      <c r="C9" s="38"/>
      <c r="D9" s="38"/>
      <c r="E9" s="38"/>
      <c r="F9" s="38"/>
      <c r="G9" s="38"/>
      <c r="H9" s="38"/>
      <c r="I9" s="38"/>
      <c r="K9" s="17" t="s">
        <v>131</v>
      </c>
      <c r="L9" s="18">
        <v>25790</v>
      </c>
      <c r="M9" s="19">
        <v>11571</v>
      </c>
    </row>
    <row r="10" spans="2:13">
      <c r="B10" s="38"/>
      <c r="C10" s="38"/>
      <c r="D10" s="38"/>
      <c r="E10" s="38"/>
      <c r="F10" s="38"/>
      <c r="G10" s="38"/>
      <c r="H10" s="38"/>
      <c r="I10" s="38"/>
      <c r="K10" s="20" t="s">
        <v>102</v>
      </c>
      <c r="L10" s="21">
        <v>4711</v>
      </c>
      <c r="M10" s="22">
        <v>754</v>
      </c>
    </row>
    <row r="11" spans="2:13">
      <c r="B11" s="38"/>
      <c r="C11" s="38"/>
      <c r="D11" s="38"/>
      <c r="E11" s="38"/>
      <c r="F11" s="38"/>
      <c r="G11" s="38"/>
      <c r="H11" s="38"/>
      <c r="I11" s="38"/>
      <c r="K11" s="17" t="s">
        <v>129</v>
      </c>
      <c r="L11" s="18">
        <v>12869</v>
      </c>
      <c r="M11" s="19">
        <v>9727</v>
      </c>
    </row>
    <row r="12" spans="2:13">
      <c r="B12" s="38"/>
      <c r="C12" s="38"/>
      <c r="D12" s="38"/>
      <c r="E12" s="38"/>
      <c r="F12" s="38"/>
      <c r="G12" s="38"/>
      <c r="H12" s="38"/>
      <c r="I12" s="38"/>
      <c r="K12" s="20" t="s">
        <v>77</v>
      </c>
      <c r="L12" s="21">
        <v>717</v>
      </c>
      <c r="M12" s="22">
        <v>740</v>
      </c>
    </row>
    <row r="13" spans="2:13">
      <c r="B13" s="38"/>
      <c r="C13" s="38"/>
      <c r="D13" s="38"/>
      <c r="E13" s="38"/>
      <c r="F13" s="38"/>
      <c r="G13" s="38"/>
      <c r="H13" s="38"/>
      <c r="I13" s="38"/>
      <c r="K13" s="17" t="s">
        <v>116</v>
      </c>
      <c r="L13" s="18">
        <v>5347</v>
      </c>
      <c r="M13" s="19">
        <v>925</v>
      </c>
    </row>
    <row r="14" spans="2:13">
      <c r="B14" s="38"/>
      <c r="C14" s="38"/>
      <c r="D14" s="38"/>
      <c r="E14" s="38"/>
      <c r="F14" s="38"/>
      <c r="G14" s="38"/>
      <c r="H14" s="38"/>
      <c r="I14" s="38"/>
      <c r="K14" s="20" t="s">
        <v>87</v>
      </c>
      <c r="L14" s="21">
        <v>3024</v>
      </c>
      <c r="M14" s="22">
        <v>1863</v>
      </c>
    </row>
    <row r="15" spans="2:13">
      <c r="B15" s="38"/>
      <c r="C15" s="38"/>
      <c r="D15" s="38"/>
      <c r="E15" s="38"/>
      <c r="F15" s="38"/>
      <c r="G15" s="38"/>
      <c r="H15" s="38"/>
      <c r="I15" s="38"/>
      <c r="K15" s="17" t="s">
        <v>128</v>
      </c>
      <c r="L15" s="18">
        <v>16451</v>
      </c>
      <c r="M15" s="19">
        <v>9012</v>
      </c>
    </row>
    <row r="16" spans="2:13" ht="29">
      <c r="B16" s="38"/>
      <c r="C16" s="38"/>
      <c r="D16" s="38"/>
      <c r="E16" s="38"/>
      <c r="F16" s="38"/>
      <c r="G16" s="38"/>
      <c r="H16" s="38"/>
      <c r="I16" s="38"/>
      <c r="K16" s="20" t="s">
        <v>103</v>
      </c>
      <c r="L16" s="21">
        <v>2770</v>
      </c>
      <c r="M16" s="22">
        <v>301</v>
      </c>
    </row>
    <row r="17" spans="2:13">
      <c r="B17" s="38"/>
      <c r="C17" s="38"/>
      <c r="D17" s="38"/>
      <c r="E17" s="38"/>
      <c r="F17" s="38"/>
      <c r="G17" s="38"/>
      <c r="H17" s="38"/>
      <c r="I17" s="38"/>
      <c r="K17" s="17" t="s">
        <v>89</v>
      </c>
      <c r="L17" s="18">
        <v>5325</v>
      </c>
      <c r="M17" s="19">
        <v>3387</v>
      </c>
    </row>
    <row r="18" spans="2:13">
      <c r="B18" s="38"/>
      <c r="C18" s="38"/>
      <c r="D18" s="38"/>
      <c r="E18" s="38"/>
      <c r="F18" s="38"/>
      <c r="G18" s="38"/>
      <c r="H18" s="38"/>
      <c r="I18" s="38"/>
      <c r="K18" s="20" t="s">
        <v>92</v>
      </c>
      <c r="L18" s="21">
        <v>2243</v>
      </c>
      <c r="M18" s="22">
        <v>1387</v>
      </c>
    </row>
    <row r="19" spans="2:13">
      <c r="B19" s="38"/>
      <c r="C19" s="38"/>
      <c r="D19" s="38"/>
      <c r="E19" s="38"/>
      <c r="F19" s="38"/>
      <c r="G19" s="38"/>
      <c r="H19" s="38"/>
      <c r="I19" s="38"/>
      <c r="K19" s="17" t="s">
        <v>134</v>
      </c>
      <c r="L19" s="18">
        <v>3262</v>
      </c>
      <c r="M19" s="19">
        <v>463</v>
      </c>
    </row>
    <row r="20" spans="2:13">
      <c r="B20" s="38"/>
      <c r="C20" s="38"/>
      <c r="D20" s="38"/>
      <c r="E20" s="38"/>
      <c r="F20" s="38"/>
      <c r="G20" s="38"/>
      <c r="H20" s="38"/>
      <c r="I20" s="38"/>
      <c r="K20" s="20" t="s">
        <v>135</v>
      </c>
      <c r="L20" s="21">
        <v>6346</v>
      </c>
      <c r="M20" s="22">
        <v>304</v>
      </c>
    </row>
    <row r="21" spans="2:13">
      <c r="B21" s="38"/>
      <c r="C21" s="38"/>
      <c r="D21" s="38"/>
      <c r="E21" s="38"/>
      <c r="F21" s="38"/>
      <c r="G21" s="38"/>
      <c r="H21" s="38"/>
      <c r="I21" s="38"/>
      <c r="K21" s="17" t="s">
        <v>84</v>
      </c>
      <c r="L21" s="18">
        <v>1096</v>
      </c>
      <c r="M21" s="19">
        <v>377</v>
      </c>
    </row>
    <row r="22" spans="2:13">
      <c r="B22" s="13"/>
      <c r="K22" s="20" t="s">
        <v>126</v>
      </c>
      <c r="L22" s="21">
        <v>3154</v>
      </c>
      <c r="M22" s="22">
        <v>488</v>
      </c>
    </row>
    <row r="23" spans="2:13" ht="14.5" customHeight="1">
      <c r="B23" s="44" t="s">
        <v>167</v>
      </c>
      <c r="C23" s="44"/>
      <c r="D23" s="44"/>
      <c r="E23" s="44"/>
      <c r="F23" s="44"/>
      <c r="G23" s="44"/>
      <c r="H23" s="44"/>
      <c r="I23" s="44"/>
      <c r="J23" s="45"/>
      <c r="K23" s="17" t="s">
        <v>109</v>
      </c>
      <c r="L23" s="18">
        <v>3748</v>
      </c>
      <c r="M23" s="19">
        <v>1458</v>
      </c>
    </row>
    <row r="24" spans="2:13" ht="14.5" customHeight="1">
      <c r="B24" s="44"/>
      <c r="C24" s="44"/>
      <c r="D24" s="44"/>
      <c r="E24" s="44"/>
      <c r="F24" s="44"/>
      <c r="G24" s="44"/>
      <c r="H24" s="44"/>
      <c r="I24" s="44"/>
      <c r="J24" s="45"/>
      <c r="K24" s="20" t="s">
        <v>115</v>
      </c>
      <c r="L24" s="21">
        <v>7828</v>
      </c>
      <c r="M24" s="22">
        <v>2193</v>
      </c>
    </row>
    <row r="25" spans="2:13" ht="14.5" customHeight="1">
      <c r="B25" s="44"/>
      <c r="C25" s="44"/>
      <c r="D25" s="44"/>
      <c r="E25" s="44"/>
      <c r="F25" s="44"/>
      <c r="G25" s="44"/>
      <c r="H25" s="44"/>
      <c r="I25" s="44"/>
      <c r="J25" s="45"/>
      <c r="K25" s="17" t="s">
        <v>95</v>
      </c>
      <c r="L25" s="18">
        <v>2823</v>
      </c>
      <c r="M25" s="19">
        <v>143</v>
      </c>
    </row>
    <row r="26" spans="2:13" ht="14.5" customHeight="1">
      <c r="B26" s="44"/>
      <c r="C26" s="44"/>
      <c r="D26" s="44"/>
      <c r="E26" s="44"/>
      <c r="F26" s="44"/>
      <c r="G26" s="44"/>
      <c r="H26" s="44"/>
      <c r="I26" s="44"/>
      <c r="J26" s="45"/>
      <c r="K26" s="20" t="s">
        <v>130</v>
      </c>
      <c r="L26" s="21">
        <v>8036</v>
      </c>
      <c r="M26" s="22">
        <v>1969</v>
      </c>
    </row>
    <row r="27" spans="2:13" ht="14.5" customHeight="1">
      <c r="B27" s="44"/>
      <c r="C27" s="44"/>
      <c r="D27" s="44"/>
      <c r="E27" s="44"/>
      <c r="F27" s="44"/>
      <c r="G27" s="44"/>
      <c r="H27" s="44"/>
      <c r="I27" s="44"/>
      <c r="J27" s="45"/>
      <c r="K27" s="17" t="s">
        <v>123</v>
      </c>
      <c r="L27" s="18">
        <v>4892</v>
      </c>
      <c r="M27" s="19">
        <v>1242</v>
      </c>
    </row>
    <row r="28" spans="2:13" ht="14.5" customHeight="1">
      <c r="B28" s="44"/>
      <c r="C28" s="44"/>
      <c r="D28" s="44"/>
      <c r="E28" s="44"/>
      <c r="F28" s="44"/>
      <c r="G28" s="44"/>
      <c r="H28" s="44"/>
      <c r="I28" s="44"/>
      <c r="J28" s="45"/>
      <c r="K28" s="20" t="s">
        <v>127</v>
      </c>
      <c r="L28" s="21">
        <v>8898</v>
      </c>
      <c r="M28" s="22">
        <v>1722</v>
      </c>
    </row>
    <row r="29" spans="2:13" ht="14.5" customHeight="1">
      <c r="B29" s="44"/>
      <c r="C29" s="44"/>
      <c r="D29" s="44"/>
      <c r="E29" s="44"/>
      <c r="F29" s="44"/>
      <c r="G29" s="44"/>
      <c r="H29" s="44"/>
      <c r="I29" s="44"/>
      <c r="J29" s="45"/>
      <c r="K29" s="17" t="s">
        <v>111</v>
      </c>
      <c r="L29" s="18">
        <v>5648</v>
      </c>
      <c r="M29" s="19">
        <v>72</v>
      </c>
    </row>
    <row r="30" spans="2:13" ht="14.5" customHeight="1">
      <c r="B30" s="44"/>
      <c r="C30" s="44"/>
      <c r="D30" s="44"/>
      <c r="E30" s="44"/>
      <c r="F30" s="44"/>
      <c r="G30" s="44"/>
      <c r="H30" s="44"/>
      <c r="I30" s="44"/>
      <c r="J30" s="45"/>
      <c r="K30" s="20" t="s">
        <v>73</v>
      </c>
      <c r="L30" s="21">
        <v>307</v>
      </c>
      <c r="M30" s="22">
        <v>299</v>
      </c>
    </row>
    <row r="31" spans="2:13" ht="14.5" customHeight="1">
      <c r="B31" s="44"/>
      <c r="C31" s="44"/>
      <c r="D31" s="44"/>
      <c r="E31" s="44"/>
      <c r="F31" s="44"/>
      <c r="G31" s="44"/>
      <c r="H31" s="44"/>
      <c r="I31" s="44"/>
      <c r="J31" s="45"/>
      <c r="K31" s="17" t="s">
        <v>133</v>
      </c>
      <c r="L31" s="18">
        <v>8776</v>
      </c>
      <c r="M31" s="19">
        <v>1394</v>
      </c>
    </row>
    <row r="32" spans="2:13" ht="14.5" customHeight="1">
      <c r="B32" s="44"/>
      <c r="C32" s="44"/>
      <c r="D32" s="44"/>
      <c r="E32" s="44"/>
      <c r="F32" s="44"/>
      <c r="G32" s="44"/>
      <c r="H32" s="44"/>
      <c r="I32" s="44"/>
      <c r="J32" s="45"/>
      <c r="K32" s="20" t="s">
        <v>110</v>
      </c>
      <c r="L32" s="21">
        <v>1531</v>
      </c>
      <c r="M32" s="22">
        <v>1187</v>
      </c>
    </row>
    <row r="33" spans="2:13" ht="14.5" customHeight="1">
      <c r="B33" s="44"/>
      <c r="C33" s="44"/>
      <c r="D33" s="44"/>
      <c r="E33" s="44"/>
      <c r="F33" s="44"/>
      <c r="G33" s="44"/>
      <c r="H33" s="44"/>
      <c r="I33" s="44"/>
      <c r="J33" s="45"/>
      <c r="K33" s="17" t="s">
        <v>91</v>
      </c>
      <c r="L33" s="18">
        <v>4749</v>
      </c>
      <c r="M33" s="19">
        <v>1376</v>
      </c>
    </row>
    <row r="34" spans="2:13" ht="14.5" customHeight="1">
      <c r="B34" s="44"/>
      <c r="C34" s="44"/>
      <c r="D34" s="44"/>
      <c r="E34" s="44"/>
      <c r="F34" s="44"/>
      <c r="G34" s="44"/>
      <c r="H34" s="44"/>
      <c r="I34" s="44"/>
      <c r="J34" s="45"/>
      <c r="K34" s="20" t="s">
        <v>132</v>
      </c>
      <c r="L34" s="21">
        <v>1585</v>
      </c>
      <c r="M34" s="22">
        <v>1146</v>
      </c>
    </row>
    <row r="35" spans="2:13" ht="29">
      <c r="B35" s="44"/>
      <c r="C35" s="44"/>
      <c r="D35" s="44"/>
      <c r="E35" s="44"/>
      <c r="F35" s="44"/>
      <c r="G35" s="44"/>
      <c r="H35" s="44"/>
      <c r="I35" s="44"/>
      <c r="J35" s="45"/>
      <c r="K35" s="17" t="s">
        <v>104</v>
      </c>
      <c r="L35" s="18">
        <v>1460</v>
      </c>
      <c r="M35" s="19">
        <v>164</v>
      </c>
    </row>
    <row r="36" spans="2:13" ht="14.5" customHeight="1">
      <c r="B36" s="44"/>
      <c r="C36" s="44"/>
      <c r="D36" s="44"/>
      <c r="E36" s="44"/>
      <c r="F36" s="44"/>
      <c r="G36" s="44"/>
      <c r="H36" s="44"/>
      <c r="I36" s="44"/>
      <c r="J36" s="45"/>
      <c r="K36" s="20" t="s">
        <v>106</v>
      </c>
      <c r="L36" s="21">
        <v>1104</v>
      </c>
      <c r="M36" s="22">
        <v>1153</v>
      </c>
    </row>
    <row r="37" spans="2:13" ht="14.5" customHeight="1">
      <c r="B37" s="44"/>
      <c r="C37" s="44"/>
      <c r="D37" s="44"/>
      <c r="E37" s="44"/>
      <c r="F37" s="44"/>
      <c r="G37" s="44"/>
      <c r="H37" s="44"/>
      <c r="I37" s="44"/>
      <c r="J37" s="45"/>
      <c r="K37" s="17" t="s">
        <v>119</v>
      </c>
      <c r="L37" s="18">
        <v>164</v>
      </c>
      <c r="M37" s="19">
        <v>67</v>
      </c>
    </row>
    <row r="38" spans="2:13" ht="14.5" customHeight="1">
      <c r="B38" s="44"/>
      <c r="C38" s="44"/>
      <c r="D38" s="44"/>
      <c r="E38" s="44"/>
      <c r="F38" s="44"/>
      <c r="G38" s="44"/>
      <c r="H38" s="44"/>
      <c r="I38" s="44"/>
      <c r="J38" s="45"/>
      <c r="K38" s="20" t="s">
        <v>75</v>
      </c>
      <c r="L38" s="21">
        <v>0</v>
      </c>
      <c r="M38" s="22">
        <v>478</v>
      </c>
    </row>
    <row r="39" spans="2:13" ht="14.5" customHeight="1">
      <c r="B39" s="44"/>
      <c r="C39" s="44"/>
      <c r="D39" s="44"/>
      <c r="E39" s="44"/>
      <c r="F39" s="44"/>
      <c r="G39" s="44"/>
      <c r="H39" s="44"/>
      <c r="I39" s="44"/>
      <c r="J39" s="45"/>
      <c r="K39" s="17" t="s">
        <v>114</v>
      </c>
      <c r="L39" s="18">
        <v>1244</v>
      </c>
      <c r="M39" s="19">
        <v>1005</v>
      </c>
    </row>
    <row r="40" spans="2:13" ht="14.5" customHeight="1">
      <c r="K40" s="20" t="s">
        <v>85</v>
      </c>
      <c r="L40" s="21">
        <v>1847</v>
      </c>
      <c r="M40" s="22">
        <v>1543</v>
      </c>
    </row>
    <row r="41" spans="2:13" ht="29">
      <c r="K41" s="17" t="s">
        <v>82</v>
      </c>
      <c r="L41" s="18">
        <v>0</v>
      </c>
      <c r="M41" s="19">
        <v>903</v>
      </c>
    </row>
    <row r="42" spans="2:13" ht="14.5" customHeight="1">
      <c r="K42" s="20" t="s">
        <v>81</v>
      </c>
      <c r="L42" s="21">
        <v>999</v>
      </c>
      <c r="M42" s="22">
        <v>949</v>
      </c>
    </row>
    <row r="43" spans="2:13" ht="29">
      <c r="K43" s="17" t="s">
        <v>101</v>
      </c>
      <c r="L43" s="18">
        <v>1329</v>
      </c>
      <c r="M43" s="19">
        <v>0</v>
      </c>
    </row>
    <row r="44" spans="2:13" ht="14.5" customHeight="1">
      <c r="K44" s="20" t="s">
        <v>78</v>
      </c>
      <c r="L44" s="21">
        <v>891</v>
      </c>
      <c r="M44" s="22">
        <v>0</v>
      </c>
    </row>
    <row r="45" spans="2:13" ht="29">
      <c r="K45" s="17" t="s">
        <v>83</v>
      </c>
      <c r="L45" s="18">
        <v>0</v>
      </c>
      <c r="M45" s="19">
        <v>658</v>
      </c>
    </row>
    <row r="46" spans="2:13" ht="14.5" customHeight="1">
      <c r="K46" s="20" t="s">
        <v>79</v>
      </c>
      <c r="L46" s="21">
        <v>504</v>
      </c>
      <c r="M46" s="22">
        <v>433</v>
      </c>
    </row>
    <row r="47" spans="2:13" ht="14.5" customHeight="1">
      <c r="K47" s="17" t="s">
        <v>70</v>
      </c>
      <c r="L47" s="18">
        <v>151</v>
      </c>
      <c r="M47" s="19">
        <v>148</v>
      </c>
    </row>
    <row r="48" spans="2:13" ht="14.5" customHeight="1">
      <c r="K48" s="20" t="s">
        <v>76</v>
      </c>
      <c r="L48" s="21">
        <v>287</v>
      </c>
      <c r="M48" s="22">
        <v>276</v>
      </c>
    </row>
    <row r="49" spans="2:13" ht="14.5" customHeight="1">
      <c r="K49" s="17" t="s">
        <v>71</v>
      </c>
      <c r="L49" s="18">
        <v>266</v>
      </c>
      <c r="M49" s="19">
        <v>263</v>
      </c>
    </row>
    <row r="50" spans="2:13" ht="14.5" customHeight="1">
      <c r="K50" s="20" t="s">
        <v>97</v>
      </c>
      <c r="L50" s="21">
        <v>2357</v>
      </c>
      <c r="M50" s="22">
        <v>30</v>
      </c>
    </row>
    <row r="51" spans="2:13" ht="14.5" customHeight="1">
      <c r="K51" s="17" t="s">
        <v>99</v>
      </c>
      <c r="L51" s="18">
        <v>240</v>
      </c>
      <c r="M51" s="19">
        <v>221</v>
      </c>
    </row>
    <row r="52" spans="2:13" ht="14.5" customHeight="1">
      <c r="K52" s="20" t="s">
        <v>74</v>
      </c>
      <c r="L52" s="21">
        <v>520</v>
      </c>
      <c r="M52" s="22">
        <v>416</v>
      </c>
    </row>
    <row r="53" spans="2:13" ht="14.5" customHeight="1">
      <c r="K53" s="17" t="s">
        <v>124</v>
      </c>
      <c r="L53" s="18">
        <v>111</v>
      </c>
      <c r="M53" s="19">
        <v>0</v>
      </c>
    </row>
    <row r="54" spans="2:13" ht="29">
      <c r="K54" s="20" t="s">
        <v>80</v>
      </c>
      <c r="L54" s="21">
        <v>773</v>
      </c>
      <c r="M54" s="22">
        <v>759</v>
      </c>
    </row>
    <row r="55" spans="2:13" ht="14.5" customHeight="1">
      <c r="K55" s="17" t="s">
        <v>93</v>
      </c>
      <c r="L55" s="18">
        <v>130</v>
      </c>
      <c r="M55" s="19">
        <v>66</v>
      </c>
    </row>
    <row r="56" spans="2:13" ht="14.5" customHeight="1">
      <c r="K56" s="20" t="s">
        <v>112</v>
      </c>
      <c r="L56" s="21">
        <v>36</v>
      </c>
      <c r="M56" s="22">
        <v>0</v>
      </c>
    </row>
    <row r="57" spans="2:13" ht="14.5" customHeight="1">
      <c r="K57" s="17" t="s">
        <v>117</v>
      </c>
      <c r="L57" s="18">
        <v>89</v>
      </c>
      <c r="M57" s="19">
        <v>0</v>
      </c>
    </row>
    <row r="58" spans="2:13" ht="14.5" customHeight="1">
      <c r="K58" s="20" t="s">
        <v>121</v>
      </c>
      <c r="L58" s="21">
        <v>18</v>
      </c>
      <c r="M58" s="22">
        <v>0</v>
      </c>
    </row>
    <row r="59" spans="2:13">
      <c r="K59" s="17" t="s">
        <v>105</v>
      </c>
      <c r="L59" s="18">
        <v>12</v>
      </c>
      <c r="M59" s="19">
        <v>0</v>
      </c>
    </row>
    <row r="60" spans="2:13" ht="29">
      <c r="K60" s="20" t="s">
        <v>100</v>
      </c>
      <c r="L60" s="21">
        <v>19</v>
      </c>
      <c r="M60" s="22">
        <v>0</v>
      </c>
    </row>
    <row r="61" spans="2:13">
      <c r="K61" s="17" t="s">
        <v>118</v>
      </c>
      <c r="L61" s="18">
        <v>11</v>
      </c>
      <c r="M61" s="19">
        <v>4</v>
      </c>
    </row>
    <row r="62" spans="2:13">
      <c r="B62" t="s">
        <v>167</v>
      </c>
      <c r="K62" s="20" t="s">
        <v>107</v>
      </c>
      <c r="L62" s="21">
        <v>11</v>
      </c>
      <c r="M62" s="22">
        <v>0</v>
      </c>
    </row>
    <row r="63" spans="2:13">
      <c r="K63" s="17" t="s">
        <v>113</v>
      </c>
      <c r="L63" s="18">
        <v>3</v>
      </c>
      <c r="M63" s="19">
        <v>0</v>
      </c>
    </row>
    <row r="64" spans="2:13">
      <c r="K64" s="20" t="s">
        <v>94</v>
      </c>
      <c r="L64" s="21">
        <v>15</v>
      </c>
      <c r="M64" s="22">
        <v>1</v>
      </c>
    </row>
    <row r="65" spans="11:13">
      <c r="K65" s="17" t="s">
        <v>108</v>
      </c>
      <c r="L65" s="18">
        <v>14</v>
      </c>
      <c r="M65" s="19">
        <v>1</v>
      </c>
    </row>
    <row r="66" spans="11:13">
      <c r="K66" s="20" t="s">
        <v>122</v>
      </c>
      <c r="L66" s="21">
        <v>2</v>
      </c>
      <c r="M66" s="22">
        <v>0</v>
      </c>
    </row>
    <row r="67" spans="11:13">
      <c r="K67" s="23" t="s">
        <v>88</v>
      </c>
      <c r="L67" s="24">
        <v>1</v>
      </c>
      <c r="M67" s="25">
        <v>0</v>
      </c>
    </row>
  </sheetData>
  <mergeCells count="3">
    <mergeCell ref="B2:I3"/>
    <mergeCell ref="B5:I21"/>
    <mergeCell ref="B23:J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DA2F-1C86-4379-86CD-1D06524452F2}">
  <dimension ref="B1:L18"/>
  <sheetViews>
    <sheetView workbookViewId="0">
      <selection activeCell="N7" sqref="N7"/>
    </sheetView>
  </sheetViews>
  <sheetFormatPr defaultRowHeight="14.5"/>
  <cols>
    <col min="11" max="11" width="42.1796875" customWidth="1"/>
    <col min="12" max="12" width="11.26953125" customWidth="1"/>
  </cols>
  <sheetData>
    <row r="1" spans="2:12">
      <c r="B1" s="46" t="s">
        <v>168</v>
      </c>
      <c r="C1" s="46"/>
      <c r="D1" s="46"/>
      <c r="E1" s="46"/>
      <c r="F1" s="46"/>
      <c r="G1" s="46"/>
      <c r="H1" s="46"/>
      <c r="I1" s="46"/>
    </row>
    <row r="2" spans="2:12">
      <c r="B2" s="46"/>
      <c r="C2" s="46"/>
      <c r="D2" s="46"/>
      <c r="E2" s="46"/>
      <c r="F2" s="46"/>
      <c r="G2" s="46"/>
      <c r="H2" s="46"/>
      <c r="I2" s="46"/>
      <c r="K2" t="s">
        <v>63</v>
      </c>
      <c r="L2" t="s">
        <v>175</v>
      </c>
    </row>
    <row r="3" spans="2:12">
      <c r="K3" s="1" t="s">
        <v>170</v>
      </c>
      <c r="L3" s="1">
        <v>2016</v>
      </c>
    </row>
    <row r="4" spans="2:12">
      <c r="B4" s="30" t="s">
        <v>169</v>
      </c>
      <c r="C4" s="47"/>
      <c r="D4" s="47"/>
      <c r="E4" s="47"/>
      <c r="F4" s="47"/>
      <c r="G4" s="47"/>
      <c r="H4" s="47"/>
      <c r="I4" s="47"/>
      <c r="K4" s="1" t="s">
        <v>171</v>
      </c>
      <c r="L4" s="1">
        <v>2016</v>
      </c>
    </row>
    <row r="5" spans="2:12">
      <c r="B5" s="47"/>
      <c r="C5" s="47"/>
      <c r="D5" s="47"/>
      <c r="E5" s="47"/>
      <c r="F5" s="47"/>
      <c r="G5" s="47"/>
      <c r="H5" s="47"/>
      <c r="I5" s="47"/>
      <c r="K5" s="1" t="s">
        <v>172</v>
      </c>
      <c r="L5" s="1">
        <v>2016</v>
      </c>
    </row>
    <row r="6" spans="2:12">
      <c r="B6" s="47"/>
      <c r="C6" s="47"/>
      <c r="D6" s="47"/>
      <c r="E6" s="47"/>
      <c r="F6" s="47"/>
      <c r="G6" s="47"/>
      <c r="H6" s="47"/>
      <c r="I6" s="47"/>
      <c r="K6" s="1" t="s">
        <v>173</v>
      </c>
      <c r="L6" s="1">
        <v>2016</v>
      </c>
    </row>
    <row r="7" spans="2:12">
      <c r="B7" s="47"/>
      <c r="C7" s="47"/>
      <c r="D7" s="47"/>
      <c r="E7" s="47"/>
      <c r="F7" s="47"/>
      <c r="G7" s="47"/>
      <c r="H7" s="47"/>
      <c r="I7" s="47"/>
      <c r="K7" s="1" t="s">
        <v>174</v>
      </c>
      <c r="L7" s="1">
        <v>2016</v>
      </c>
    </row>
    <row r="8" spans="2:12">
      <c r="B8" s="47"/>
      <c r="C8" s="47"/>
      <c r="D8" s="47"/>
      <c r="E8" s="47"/>
      <c r="F8" s="47"/>
      <c r="G8" s="47"/>
      <c r="H8" s="47"/>
      <c r="I8" s="47"/>
    </row>
    <row r="9" spans="2:12">
      <c r="B9" s="47"/>
      <c r="C9" s="47"/>
      <c r="D9" s="47"/>
      <c r="E9" s="47"/>
      <c r="F9" s="47"/>
      <c r="G9" s="47"/>
      <c r="H9" s="47"/>
      <c r="I9" s="47"/>
      <c r="K9" s="44" t="s">
        <v>176</v>
      </c>
      <c r="L9" s="44"/>
    </row>
    <row r="10" spans="2:12">
      <c r="B10" s="47"/>
      <c r="C10" s="47"/>
      <c r="D10" s="47"/>
      <c r="E10" s="47"/>
      <c r="F10" s="47"/>
      <c r="G10" s="47"/>
      <c r="H10" s="47"/>
      <c r="I10" s="47"/>
      <c r="K10" s="44"/>
      <c r="L10" s="44"/>
    </row>
    <row r="11" spans="2:12">
      <c r="B11" s="47"/>
      <c r="C11" s="47"/>
      <c r="D11" s="47"/>
      <c r="E11" s="47"/>
      <c r="F11" s="47"/>
      <c r="G11" s="47"/>
      <c r="H11" s="47"/>
      <c r="I11" s="47"/>
      <c r="K11" s="44"/>
      <c r="L11" s="44"/>
    </row>
    <row r="12" spans="2:12">
      <c r="B12" s="47"/>
      <c r="C12" s="47"/>
      <c r="D12" s="47"/>
      <c r="E12" s="47"/>
      <c r="F12" s="47"/>
      <c r="G12" s="47"/>
      <c r="H12" s="47"/>
      <c r="I12" s="47"/>
      <c r="K12" s="44"/>
      <c r="L12" s="44"/>
    </row>
    <row r="13" spans="2:12">
      <c r="B13" s="47"/>
      <c r="C13" s="47"/>
      <c r="D13" s="47"/>
      <c r="E13" s="47"/>
      <c r="F13" s="47"/>
      <c r="G13" s="47"/>
      <c r="H13" s="47"/>
      <c r="I13" s="47"/>
      <c r="K13" s="44"/>
      <c r="L13" s="44"/>
    </row>
    <row r="14" spans="2:12">
      <c r="B14" s="47"/>
      <c r="C14" s="47"/>
      <c r="D14" s="47"/>
      <c r="E14" s="47"/>
      <c r="F14" s="47"/>
      <c r="G14" s="47"/>
      <c r="H14" s="47"/>
      <c r="I14" s="47"/>
      <c r="K14" s="44"/>
      <c r="L14" s="44"/>
    </row>
    <row r="15" spans="2:12">
      <c r="B15" s="47"/>
      <c r="C15" s="47"/>
      <c r="D15" s="47"/>
      <c r="E15" s="47"/>
      <c r="F15" s="47"/>
      <c r="G15" s="47"/>
      <c r="H15" s="47"/>
      <c r="I15" s="47"/>
      <c r="K15" s="44"/>
      <c r="L15" s="44"/>
    </row>
    <row r="16" spans="2:12">
      <c r="B16" s="47"/>
      <c r="C16" s="47"/>
      <c r="D16" s="47"/>
      <c r="E16" s="47"/>
      <c r="F16" s="47"/>
      <c r="G16" s="47"/>
      <c r="H16" s="47"/>
      <c r="I16" s="47"/>
      <c r="K16" s="44"/>
      <c r="L16" s="44"/>
    </row>
    <row r="17" spans="2:12">
      <c r="B17" s="47"/>
      <c r="C17" s="47"/>
      <c r="D17" s="47"/>
      <c r="E17" s="47"/>
      <c r="F17" s="47"/>
      <c r="G17" s="47"/>
      <c r="H17" s="47"/>
      <c r="I17" s="47"/>
      <c r="K17" s="44"/>
      <c r="L17" s="44"/>
    </row>
    <row r="18" spans="2:12">
      <c r="B18" s="47"/>
      <c r="C18" s="47"/>
      <c r="D18" s="47"/>
      <c r="E18" s="47"/>
      <c r="F18" s="47"/>
      <c r="G18" s="47"/>
      <c r="H18" s="47"/>
      <c r="I18" s="47"/>
      <c r="K18" s="44"/>
      <c r="L18" s="44"/>
    </row>
  </sheetData>
  <mergeCells count="3">
    <mergeCell ref="B1:I2"/>
    <mergeCell ref="B4:I18"/>
    <mergeCell ref="K9:L18"/>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D156-EE02-4D01-B025-9E839517D52C}">
  <dimension ref="B2:L754"/>
  <sheetViews>
    <sheetView workbookViewId="0">
      <selection activeCell="M7" sqref="M7"/>
    </sheetView>
  </sheetViews>
  <sheetFormatPr defaultRowHeight="14.5"/>
  <cols>
    <col min="11" max="11" width="55" customWidth="1"/>
  </cols>
  <sheetData>
    <row r="2" spans="2:12" ht="18.5">
      <c r="B2" s="35" t="s">
        <v>177</v>
      </c>
      <c r="C2" s="35"/>
      <c r="D2" s="35"/>
      <c r="E2" s="35"/>
      <c r="F2" s="35"/>
      <c r="G2" s="35"/>
      <c r="H2" s="35"/>
      <c r="I2" s="35"/>
      <c r="K2" s="26" t="s">
        <v>921</v>
      </c>
    </row>
    <row r="3" spans="2:12">
      <c r="B3" s="35"/>
      <c r="C3" s="35"/>
      <c r="D3" s="35"/>
      <c r="E3" s="35"/>
      <c r="F3" s="35"/>
      <c r="G3" s="35"/>
      <c r="H3" s="35"/>
      <c r="I3" s="35"/>
      <c r="K3" s="1" t="s">
        <v>179</v>
      </c>
      <c r="L3" s="1"/>
    </row>
    <row r="4" spans="2:12">
      <c r="K4" s="1" t="s">
        <v>180</v>
      </c>
      <c r="L4" s="1"/>
    </row>
    <row r="5" spans="2:12">
      <c r="B5" s="30" t="s">
        <v>178</v>
      </c>
      <c r="C5" s="47"/>
      <c r="D5" s="47"/>
      <c r="E5" s="47"/>
      <c r="F5" s="47"/>
      <c r="G5" s="47"/>
      <c r="H5" s="47"/>
      <c r="I5" s="47"/>
      <c r="K5" s="1" t="s">
        <v>181</v>
      </c>
      <c r="L5" s="1"/>
    </row>
    <row r="6" spans="2:12">
      <c r="B6" s="47"/>
      <c r="C6" s="47"/>
      <c r="D6" s="47"/>
      <c r="E6" s="47"/>
      <c r="F6" s="47"/>
      <c r="G6" s="47"/>
      <c r="H6" s="47"/>
      <c r="I6" s="47"/>
      <c r="K6" s="1" t="s">
        <v>182</v>
      </c>
      <c r="L6" s="1"/>
    </row>
    <row r="7" spans="2:12">
      <c r="B7" s="47"/>
      <c r="C7" s="47"/>
      <c r="D7" s="47"/>
      <c r="E7" s="47"/>
      <c r="F7" s="47"/>
      <c r="G7" s="47"/>
      <c r="H7" s="47"/>
      <c r="I7" s="47"/>
      <c r="K7" s="1" t="s">
        <v>183</v>
      </c>
      <c r="L7" s="1"/>
    </row>
    <row r="8" spans="2:12">
      <c r="B8" s="47"/>
      <c r="C8" s="47"/>
      <c r="D8" s="47"/>
      <c r="E8" s="47"/>
      <c r="F8" s="47"/>
      <c r="G8" s="47"/>
      <c r="H8" s="47"/>
      <c r="I8" s="47"/>
      <c r="K8" s="1" t="s">
        <v>184</v>
      </c>
      <c r="L8" s="1"/>
    </row>
    <row r="9" spans="2:12">
      <c r="B9" s="47"/>
      <c r="C9" s="47"/>
      <c r="D9" s="47"/>
      <c r="E9" s="47"/>
      <c r="F9" s="47"/>
      <c r="G9" s="47"/>
      <c r="H9" s="47"/>
      <c r="I9" s="47"/>
      <c r="K9" s="1" t="s">
        <v>185</v>
      </c>
      <c r="L9" s="1"/>
    </row>
    <row r="10" spans="2:12">
      <c r="B10" s="47"/>
      <c r="C10" s="47"/>
      <c r="D10" s="47"/>
      <c r="E10" s="47"/>
      <c r="F10" s="47"/>
      <c r="G10" s="47"/>
      <c r="H10" s="47"/>
      <c r="I10" s="47"/>
      <c r="K10" s="1" t="s">
        <v>186</v>
      </c>
      <c r="L10" s="1"/>
    </row>
    <row r="11" spans="2:12">
      <c r="B11" s="47"/>
      <c r="C11" s="47"/>
      <c r="D11" s="47"/>
      <c r="E11" s="47"/>
      <c r="F11" s="47"/>
      <c r="G11" s="47"/>
      <c r="H11" s="47"/>
      <c r="I11" s="47"/>
      <c r="K11" s="1" t="s">
        <v>187</v>
      </c>
      <c r="L11" s="1"/>
    </row>
    <row r="12" spans="2:12">
      <c r="B12" s="47"/>
      <c r="C12" s="47"/>
      <c r="D12" s="47"/>
      <c r="E12" s="47"/>
      <c r="F12" s="47"/>
      <c r="G12" s="47"/>
      <c r="H12" s="47"/>
      <c r="I12" s="47"/>
      <c r="K12" s="1" t="s">
        <v>188</v>
      </c>
      <c r="L12" s="1"/>
    </row>
    <row r="13" spans="2:12">
      <c r="B13" s="47"/>
      <c r="C13" s="47"/>
      <c r="D13" s="47"/>
      <c r="E13" s="47"/>
      <c r="F13" s="47"/>
      <c r="G13" s="47"/>
      <c r="H13" s="47"/>
      <c r="I13" s="47"/>
      <c r="K13" s="1" t="s">
        <v>189</v>
      </c>
      <c r="L13" s="1"/>
    </row>
    <row r="14" spans="2:12">
      <c r="B14" s="47"/>
      <c r="C14" s="47"/>
      <c r="D14" s="47"/>
      <c r="E14" s="47"/>
      <c r="F14" s="47"/>
      <c r="G14" s="47"/>
      <c r="H14" s="47"/>
      <c r="I14" s="47"/>
      <c r="K14" s="1" t="s">
        <v>190</v>
      </c>
      <c r="L14" s="1"/>
    </row>
    <row r="15" spans="2:12">
      <c r="B15" s="47"/>
      <c r="C15" s="47"/>
      <c r="D15" s="47"/>
      <c r="E15" s="47"/>
      <c r="F15" s="47"/>
      <c r="G15" s="47"/>
      <c r="H15" s="47"/>
      <c r="I15" s="47"/>
      <c r="K15" s="1" t="s">
        <v>191</v>
      </c>
      <c r="L15" s="1"/>
    </row>
    <row r="16" spans="2:12">
      <c r="B16" s="47"/>
      <c r="C16" s="47"/>
      <c r="D16" s="47"/>
      <c r="E16" s="47"/>
      <c r="F16" s="47"/>
      <c r="G16" s="47"/>
      <c r="H16" s="47"/>
      <c r="I16" s="47"/>
      <c r="K16" s="1" t="s">
        <v>192</v>
      </c>
      <c r="L16" s="1"/>
    </row>
    <row r="17" spans="2:12">
      <c r="B17" s="47"/>
      <c r="C17" s="47"/>
      <c r="D17" s="47"/>
      <c r="E17" s="47"/>
      <c r="F17" s="47"/>
      <c r="G17" s="47"/>
      <c r="H17" s="47"/>
      <c r="I17" s="47"/>
      <c r="K17" s="1" t="s">
        <v>193</v>
      </c>
      <c r="L17" s="1"/>
    </row>
    <row r="18" spans="2:12">
      <c r="B18" s="47"/>
      <c r="C18" s="47"/>
      <c r="D18" s="47"/>
      <c r="E18" s="47"/>
      <c r="F18" s="47"/>
      <c r="G18" s="47"/>
      <c r="H18" s="47"/>
      <c r="I18" s="47"/>
      <c r="K18" s="1" t="s">
        <v>194</v>
      </c>
      <c r="L18" s="1"/>
    </row>
    <row r="19" spans="2:12">
      <c r="B19" s="47"/>
      <c r="C19" s="47"/>
      <c r="D19" s="47"/>
      <c r="E19" s="47"/>
      <c r="F19" s="47"/>
      <c r="G19" s="47"/>
      <c r="H19" s="47"/>
      <c r="I19" s="47"/>
      <c r="K19" s="1" t="s">
        <v>195</v>
      </c>
      <c r="L19" s="1"/>
    </row>
    <row r="20" spans="2:12">
      <c r="B20" s="47"/>
      <c r="C20" s="47"/>
      <c r="D20" s="47"/>
      <c r="E20" s="47"/>
      <c r="F20" s="47"/>
      <c r="G20" s="47"/>
      <c r="H20" s="47"/>
      <c r="I20" s="47"/>
      <c r="K20" s="1" t="s">
        <v>196</v>
      </c>
      <c r="L20" s="1"/>
    </row>
    <row r="21" spans="2:12">
      <c r="K21" s="1" t="s">
        <v>197</v>
      </c>
      <c r="L21" s="1"/>
    </row>
    <row r="22" spans="2:12" ht="14.5" customHeight="1">
      <c r="K22" s="1" t="s">
        <v>198</v>
      </c>
      <c r="L22" s="1"/>
    </row>
    <row r="23" spans="2:12">
      <c r="B23" s="48" t="s">
        <v>922</v>
      </c>
      <c r="C23" s="48"/>
      <c r="D23" s="48"/>
      <c r="E23" s="48"/>
      <c r="F23" s="48"/>
      <c r="G23" s="48"/>
      <c r="H23" s="48"/>
      <c r="I23" s="48"/>
      <c r="K23" s="1" t="s">
        <v>199</v>
      </c>
      <c r="L23" s="1"/>
    </row>
    <row r="24" spans="2:12">
      <c r="B24" s="48"/>
      <c r="C24" s="48"/>
      <c r="D24" s="48"/>
      <c r="E24" s="48"/>
      <c r="F24" s="48"/>
      <c r="G24" s="48"/>
      <c r="H24" s="48"/>
      <c r="I24" s="48"/>
      <c r="K24" s="1" t="s">
        <v>200</v>
      </c>
      <c r="L24" s="1"/>
    </row>
    <row r="25" spans="2:12">
      <c r="B25" s="48"/>
      <c r="C25" s="48"/>
      <c r="D25" s="48"/>
      <c r="E25" s="48"/>
      <c r="F25" s="48"/>
      <c r="G25" s="48"/>
      <c r="H25" s="48"/>
      <c r="I25" s="48"/>
      <c r="K25" s="1" t="s">
        <v>201</v>
      </c>
      <c r="L25" s="1"/>
    </row>
    <row r="26" spans="2:12">
      <c r="B26" s="48"/>
      <c r="C26" s="48"/>
      <c r="D26" s="48"/>
      <c r="E26" s="48"/>
      <c r="F26" s="48"/>
      <c r="G26" s="48"/>
      <c r="H26" s="48"/>
      <c r="I26" s="48"/>
      <c r="K26" s="1" t="s">
        <v>202</v>
      </c>
      <c r="L26" s="1"/>
    </row>
    <row r="27" spans="2:12">
      <c r="B27" s="48"/>
      <c r="C27" s="48"/>
      <c r="D27" s="48"/>
      <c r="E27" s="48"/>
      <c r="F27" s="48"/>
      <c r="G27" s="48"/>
      <c r="H27" s="48"/>
      <c r="I27" s="48"/>
      <c r="K27" s="1" t="s">
        <v>203</v>
      </c>
      <c r="L27" s="1"/>
    </row>
    <row r="28" spans="2:12">
      <c r="B28" s="48"/>
      <c r="C28" s="48"/>
      <c r="D28" s="48"/>
      <c r="E28" s="48"/>
      <c r="F28" s="48"/>
      <c r="G28" s="48"/>
      <c r="H28" s="48"/>
      <c r="I28" s="48"/>
      <c r="K28" s="1" t="s">
        <v>204</v>
      </c>
      <c r="L28" s="1"/>
    </row>
    <row r="29" spans="2:12">
      <c r="K29" s="1" t="s">
        <v>205</v>
      </c>
      <c r="L29" s="1"/>
    </row>
    <row r="30" spans="2:12">
      <c r="K30" s="1" t="s">
        <v>206</v>
      </c>
      <c r="L30" s="1"/>
    </row>
    <row r="31" spans="2:12">
      <c r="K31" s="1" t="s">
        <v>207</v>
      </c>
      <c r="L31" s="1"/>
    </row>
    <row r="32" spans="2:12">
      <c r="K32" s="1" t="s">
        <v>208</v>
      </c>
      <c r="L32" s="1"/>
    </row>
    <row r="33" spans="2:12">
      <c r="K33" s="1" t="s">
        <v>209</v>
      </c>
      <c r="L33" s="1"/>
    </row>
    <row r="34" spans="2:12">
      <c r="K34" s="1" t="s">
        <v>210</v>
      </c>
      <c r="L34" s="1"/>
    </row>
    <row r="35" spans="2:12">
      <c r="B35" s="27"/>
      <c r="K35" s="1" t="s">
        <v>211</v>
      </c>
      <c r="L35" s="1"/>
    </row>
    <row r="36" spans="2:12">
      <c r="K36" s="1" t="s">
        <v>212</v>
      </c>
      <c r="L36" s="1"/>
    </row>
    <row r="37" spans="2:12">
      <c r="K37" s="1" t="s">
        <v>213</v>
      </c>
      <c r="L37" s="1"/>
    </row>
    <row r="38" spans="2:12">
      <c r="K38" s="1" t="s">
        <v>214</v>
      </c>
      <c r="L38" s="1"/>
    </row>
    <row r="39" spans="2:12">
      <c r="K39" s="1" t="s">
        <v>215</v>
      </c>
      <c r="L39" s="1"/>
    </row>
    <row r="40" spans="2:12">
      <c r="K40" s="1" t="s">
        <v>216</v>
      </c>
      <c r="L40" s="1"/>
    </row>
    <row r="41" spans="2:12">
      <c r="K41" s="1" t="s">
        <v>217</v>
      </c>
      <c r="L41" s="1"/>
    </row>
    <row r="42" spans="2:12">
      <c r="K42" s="1" t="s">
        <v>218</v>
      </c>
      <c r="L42" s="1"/>
    </row>
    <row r="43" spans="2:12">
      <c r="K43" s="1" t="s">
        <v>219</v>
      </c>
      <c r="L43" s="1"/>
    </row>
    <row r="44" spans="2:12">
      <c r="K44" s="1" t="s">
        <v>220</v>
      </c>
      <c r="L44" s="1"/>
    </row>
    <row r="45" spans="2:12">
      <c r="K45" s="1" t="s">
        <v>221</v>
      </c>
      <c r="L45" s="1"/>
    </row>
    <row r="46" spans="2:12">
      <c r="K46" s="1" t="s">
        <v>222</v>
      </c>
      <c r="L46" s="1"/>
    </row>
    <row r="47" spans="2:12">
      <c r="K47" s="1" t="s">
        <v>223</v>
      </c>
      <c r="L47" s="1"/>
    </row>
    <row r="48" spans="2:12">
      <c r="K48" s="1" t="s">
        <v>224</v>
      </c>
      <c r="L48" s="1"/>
    </row>
    <row r="49" spans="11:12">
      <c r="K49" s="1" t="s">
        <v>225</v>
      </c>
      <c r="L49" s="1"/>
    </row>
    <row r="50" spans="11:12">
      <c r="K50" s="1" t="s">
        <v>226</v>
      </c>
      <c r="L50" s="1"/>
    </row>
    <row r="51" spans="11:12">
      <c r="K51" s="1" t="s">
        <v>227</v>
      </c>
      <c r="L51" s="1"/>
    </row>
    <row r="52" spans="11:12">
      <c r="K52" s="1" t="s">
        <v>228</v>
      </c>
      <c r="L52" s="1"/>
    </row>
    <row r="53" spans="11:12">
      <c r="K53" s="1" t="s">
        <v>229</v>
      </c>
      <c r="L53" s="1"/>
    </row>
    <row r="54" spans="11:12">
      <c r="K54" s="1" t="s">
        <v>230</v>
      </c>
      <c r="L54" s="1"/>
    </row>
    <row r="55" spans="11:12">
      <c r="K55" s="1" t="s">
        <v>231</v>
      </c>
      <c r="L55" s="1"/>
    </row>
    <row r="56" spans="11:12">
      <c r="K56" s="1" t="s">
        <v>232</v>
      </c>
      <c r="L56" s="1"/>
    </row>
    <row r="57" spans="11:12">
      <c r="K57" s="1" t="s">
        <v>233</v>
      </c>
      <c r="L57" s="1"/>
    </row>
    <row r="58" spans="11:12">
      <c r="K58" s="1" t="s">
        <v>234</v>
      </c>
      <c r="L58" s="1"/>
    </row>
    <row r="59" spans="11:12">
      <c r="K59" s="1" t="s">
        <v>235</v>
      </c>
      <c r="L59" s="1"/>
    </row>
    <row r="60" spans="11:12">
      <c r="K60" s="1" t="s">
        <v>236</v>
      </c>
      <c r="L60" s="1"/>
    </row>
    <row r="61" spans="11:12">
      <c r="K61" s="1" t="s">
        <v>237</v>
      </c>
      <c r="L61" s="1"/>
    </row>
    <row r="62" spans="11:12">
      <c r="K62" s="1" t="s">
        <v>238</v>
      </c>
      <c r="L62" s="1"/>
    </row>
    <row r="63" spans="11:12">
      <c r="K63" s="1" t="s">
        <v>239</v>
      </c>
      <c r="L63" s="1"/>
    </row>
    <row r="64" spans="11:12">
      <c r="K64" s="1" t="s">
        <v>240</v>
      </c>
      <c r="L64" s="1"/>
    </row>
    <row r="65" spans="11:12">
      <c r="K65" s="1" t="s">
        <v>241</v>
      </c>
      <c r="L65" s="1"/>
    </row>
    <row r="66" spans="11:12">
      <c r="K66" s="1" t="s">
        <v>242</v>
      </c>
      <c r="L66" s="1"/>
    </row>
    <row r="67" spans="11:12">
      <c r="K67" s="1" t="s">
        <v>243</v>
      </c>
      <c r="L67" s="1"/>
    </row>
    <row r="68" spans="11:12">
      <c r="K68" s="1" t="s">
        <v>244</v>
      </c>
      <c r="L68" s="1"/>
    </row>
    <row r="69" spans="11:12">
      <c r="K69" s="1" t="s">
        <v>245</v>
      </c>
      <c r="L69" s="1"/>
    </row>
    <row r="70" spans="11:12">
      <c r="K70" s="1" t="s">
        <v>246</v>
      </c>
      <c r="L70" s="1"/>
    </row>
    <row r="71" spans="11:12">
      <c r="K71" s="1" t="s">
        <v>247</v>
      </c>
      <c r="L71" s="1"/>
    </row>
    <row r="72" spans="11:12">
      <c r="K72" s="1" t="s">
        <v>248</v>
      </c>
      <c r="L72" s="1"/>
    </row>
    <row r="73" spans="11:12">
      <c r="K73" s="1" t="s">
        <v>249</v>
      </c>
      <c r="L73" s="1"/>
    </row>
    <row r="74" spans="11:12">
      <c r="K74" s="1" t="s">
        <v>250</v>
      </c>
      <c r="L74" s="1"/>
    </row>
    <row r="75" spans="11:12">
      <c r="K75" s="1" t="s">
        <v>251</v>
      </c>
      <c r="L75" s="1"/>
    </row>
    <row r="76" spans="11:12">
      <c r="K76" s="1" t="s">
        <v>252</v>
      </c>
      <c r="L76" s="1"/>
    </row>
    <row r="77" spans="11:12">
      <c r="K77" s="1" t="s">
        <v>253</v>
      </c>
      <c r="L77" s="1"/>
    </row>
    <row r="78" spans="11:12">
      <c r="K78" s="1" t="s">
        <v>254</v>
      </c>
      <c r="L78" s="1"/>
    </row>
    <row r="79" spans="11:12">
      <c r="K79" s="1" t="s">
        <v>255</v>
      </c>
      <c r="L79" s="1"/>
    </row>
    <row r="80" spans="11:12">
      <c r="K80" s="1" t="s">
        <v>256</v>
      </c>
      <c r="L80" s="1"/>
    </row>
    <row r="81" spans="11:12">
      <c r="K81" s="1" t="s">
        <v>257</v>
      </c>
      <c r="L81" s="1"/>
    </row>
    <row r="82" spans="11:12">
      <c r="K82" s="1" t="s">
        <v>258</v>
      </c>
      <c r="L82" s="1"/>
    </row>
    <row r="83" spans="11:12">
      <c r="K83" s="1" t="s">
        <v>259</v>
      </c>
      <c r="L83" s="1"/>
    </row>
    <row r="84" spans="11:12">
      <c r="K84" s="1" t="s">
        <v>260</v>
      </c>
      <c r="L84" s="1"/>
    </row>
    <row r="85" spans="11:12">
      <c r="K85" s="1" t="s">
        <v>261</v>
      </c>
      <c r="L85" s="1"/>
    </row>
    <row r="86" spans="11:12">
      <c r="K86" s="1" t="s">
        <v>262</v>
      </c>
      <c r="L86" s="1"/>
    </row>
    <row r="87" spans="11:12">
      <c r="K87" s="1" t="s">
        <v>263</v>
      </c>
      <c r="L87" s="1"/>
    </row>
    <row r="88" spans="11:12">
      <c r="K88" s="1" t="s">
        <v>264</v>
      </c>
      <c r="L88" s="1"/>
    </row>
    <row r="89" spans="11:12">
      <c r="K89" s="1" t="s">
        <v>265</v>
      </c>
      <c r="L89" s="1"/>
    </row>
    <row r="90" spans="11:12">
      <c r="K90" s="1" t="s">
        <v>266</v>
      </c>
      <c r="L90" s="1"/>
    </row>
    <row r="91" spans="11:12">
      <c r="K91" s="1" t="s">
        <v>267</v>
      </c>
      <c r="L91" s="1"/>
    </row>
    <row r="92" spans="11:12">
      <c r="K92" s="1" t="s">
        <v>268</v>
      </c>
      <c r="L92" s="1"/>
    </row>
    <row r="93" spans="11:12">
      <c r="K93" s="1" t="s">
        <v>269</v>
      </c>
      <c r="L93" s="1"/>
    </row>
    <row r="94" spans="11:12">
      <c r="K94" s="1" t="s">
        <v>270</v>
      </c>
      <c r="L94" s="1"/>
    </row>
    <row r="95" spans="11:12">
      <c r="K95" s="1" t="s">
        <v>271</v>
      </c>
      <c r="L95" s="1"/>
    </row>
    <row r="96" spans="11:12">
      <c r="K96" s="1" t="s">
        <v>272</v>
      </c>
      <c r="L96" s="1"/>
    </row>
    <row r="97" spans="11:12">
      <c r="K97" s="1" t="s">
        <v>273</v>
      </c>
      <c r="L97" s="1"/>
    </row>
    <row r="98" spans="11:12">
      <c r="K98" s="1" t="s">
        <v>274</v>
      </c>
      <c r="L98" s="1"/>
    </row>
    <row r="99" spans="11:12">
      <c r="K99" s="1" t="s">
        <v>275</v>
      </c>
      <c r="L99" s="1"/>
    </row>
    <row r="100" spans="11:12">
      <c r="K100" s="1" t="s">
        <v>276</v>
      </c>
      <c r="L100" s="1"/>
    </row>
    <row r="101" spans="11:12">
      <c r="K101" s="1" t="s">
        <v>277</v>
      </c>
      <c r="L101" s="1"/>
    </row>
    <row r="102" spans="11:12">
      <c r="K102" s="1" t="s">
        <v>278</v>
      </c>
      <c r="L102" s="1"/>
    </row>
    <row r="103" spans="11:12">
      <c r="K103" s="1" t="s">
        <v>279</v>
      </c>
      <c r="L103" s="1"/>
    </row>
    <row r="104" spans="11:12">
      <c r="K104" s="1" t="s">
        <v>280</v>
      </c>
      <c r="L104" s="1"/>
    </row>
    <row r="105" spans="11:12">
      <c r="K105" s="1" t="s">
        <v>281</v>
      </c>
      <c r="L105" s="1"/>
    </row>
    <row r="106" spans="11:12">
      <c r="K106" s="1" t="s">
        <v>282</v>
      </c>
      <c r="L106" s="1"/>
    </row>
    <row r="107" spans="11:12">
      <c r="K107" s="1" t="s">
        <v>283</v>
      </c>
      <c r="L107" s="1"/>
    </row>
    <row r="108" spans="11:12">
      <c r="K108" s="1" t="s">
        <v>284</v>
      </c>
      <c r="L108" s="1"/>
    </row>
    <row r="109" spans="11:12">
      <c r="K109" s="1" t="s">
        <v>285</v>
      </c>
      <c r="L109" s="1"/>
    </row>
    <row r="110" spans="11:12">
      <c r="K110" s="1" t="s">
        <v>286</v>
      </c>
      <c r="L110" s="1"/>
    </row>
    <row r="111" spans="11:12">
      <c r="K111" s="1" t="s">
        <v>287</v>
      </c>
      <c r="L111" s="1"/>
    </row>
    <row r="112" spans="11:12">
      <c r="K112" s="1" t="s">
        <v>288</v>
      </c>
      <c r="L112" s="1"/>
    </row>
    <row r="113" spans="11:12">
      <c r="K113" s="1" t="s">
        <v>289</v>
      </c>
      <c r="L113" s="1"/>
    </row>
    <row r="114" spans="11:12">
      <c r="K114" s="1" t="s">
        <v>290</v>
      </c>
      <c r="L114" s="1"/>
    </row>
    <row r="115" spans="11:12">
      <c r="K115" s="1" t="s">
        <v>291</v>
      </c>
      <c r="L115" s="1"/>
    </row>
    <row r="116" spans="11:12">
      <c r="K116" s="1" t="s">
        <v>292</v>
      </c>
      <c r="L116" s="1"/>
    </row>
    <row r="117" spans="11:12">
      <c r="K117" s="1" t="s">
        <v>293</v>
      </c>
      <c r="L117" s="1"/>
    </row>
    <row r="118" spans="11:12">
      <c r="K118" s="1" t="s">
        <v>294</v>
      </c>
      <c r="L118" s="1"/>
    </row>
    <row r="119" spans="11:12">
      <c r="K119" s="1" t="s">
        <v>295</v>
      </c>
      <c r="L119" s="1"/>
    </row>
    <row r="120" spans="11:12">
      <c r="K120" s="1" t="s">
        <v>296</v>
      </c>
      <c r="L120" s="1"/>
    </row>
    <row r="121" spans="11:12">
      <c r="K121" s="1" t="s">
        <v>297</v>
      </c>
      <c r="L121" s="1"/>
    </row>
    <row r="122" spans="11:12">
      <c r="K122" s="1" t="s">
        <v>298</v>
      </c>
      <c r="L122" s="1"/>
    </row>
    <row r="123" spans="11:12">
      <c r="K123" s="1" t="s">
        <v>299</v>
      </c>
      <c r="L123" s="1"/>
    </row>
    <row r="124" spans="11:12">
      <c r="K124" s="1" t="s">
        <v>300</v>
      </c>
      <c r="L124" s="1"/>
    </row>
    <row r="125" spans="11:12">
      <c r="K125" s="1" t="s">
        <v>301</v>
      </c>
      <c r="L125" s="1"/>
    </row>
    <row r="126" spans="11:12">
      <c r="K126" s="1" t="s">
        <v>302</v>
      </c>
      <c r="L126" s="1"/>
    </row>
    <row r="127" spans="11:12">
      <c r="K127" s="1" t="s">
        <v>303</v>
      </c>
      <c r="L127" s="1"/>
    </row>
    <row r="128" spans="11:12">
      <c r="K128" s="1" t="s">
        <v>304</v>
      </c>
      <c r="L128" s="1"/>
    </row>
    <row r="129" spans="11:12">
      <c r="K129" s="1" t="s">
        <v>305</v>
      </c>
      <c r="L129" s="1"/>
    </row>
    <row r="130" spans="11:12">
      <c r="K130" s="1" t="s">
        <v>306</v>
      </c>
      <c r="L130" s="1"/>
    </row>
    <row r="131" spans="11:12">
      <c r="K131" s="1" t="s">
        <v>307</v>
      </c>
      <c r="L131" s="1"/>
    </row>
    <row r="132" spans="11:12">
      <c r="K132" s="1" t="s">
        <v>308</v>
      </c>
      <c r="L132" s="1"/>
    </row>
    <row r="133" spans="11:12">
      <c r="K133" s="1" t="s">
        <v>309</v>
      </c>
      <c r="L133" s="1"/>
    </row>
    <row r="134" spans="11:12">
      <c r="K134" s="1" t="s">
        <v>310</v>
      </c>
      <c r="L134" s="1"/>
    </row>
    <row r="135" spans="11:12">
      <c r="K135" s="1" t="s">
        <v>311</v>
      </c>
      <c r="L135" s="1"/>
    </row>
    <row r="136" spans="11:12">
      <c r="K136" s="1" t="s">
        <v>312</v>
      </c>
      <c r="L136" s="1"/>
    </row>
    <row r="137" spans="11:12">
      <c r="K137" s="1" t="s">
        <v>313</v>
      </c>
      <c r="L137" s="1"/>
    </row>
    <row r="138" spans="11:12">
      <c r="K138" s="1" t="s">
        <v>314</v>
      </c>
      <c r="L138" s="1"/>
    </row>
    <row r="139" spans="11:12">
      <c r="K139" s="1" t="s">
        <v>315</v>
      </c>
      <c r="L139" s="1"/>
    </row>
    <row r="140" spans="11:12">
      <c r="K140" s="1" t="s">
        <v>316</v>
      </c>
      <c r="L140" s="1"/>
    </row>
    <row r="141" spans="11:12">
      <c r="K141" s="1" t="s">
        <v>317</v>
      </c>
      <c r="L141" s="1"/>
    </row>
    <row r="142" spans="11:12">
      <c r="K142" s="1" t="s">
        <v>318</v>
      </c>
      <c r="L142" s="1"/>
    </row>
    <row r="143" spans="11:12">
      <c r="K143" s="1" t="s">
        <v>319</v>
      </c>
      <c r="L143" s="1"/>
    </row>
    <row r="144" spans="11:12">
      <c r="K144" s="1" t="s">
        <v>320</v>
      </c>
      <c r="L144" s="1"/>
    </row>
    <row r="145" spans="11:12">
      <c r="K145" s="1" t="s">
        <v>321</v>
      </c>
      <c r="L145" s="1"/>
    </row>
    <row r="146" spans="11:12">
      <c r="K146" s="1" t="s">
        <v>322</v>
      </c>
      <c r="L146" s="1"/>
    </row>
    <row r="147" spans="11:12">
      <c r="K147" s="1" t="s">
        <v>323</v>
      </c>
      <c r="L147" s="1"/>
    </row>
    <row r="148" spans="11:12">
      <c r="K148" s="1" t="s">
        <v>324</v>
      </c>
      <c r="L148" s="1"/>
    </row>
    <row r="149" spans="11:12">
      <c r="K149" s="1" t="s">
        <v>325</v>
      </c>
      <c r="L149" s="1"/>
    </row>
    <row r="150" spans="11:12">
      <c r="K150" s="1" t="s">
        <v>326</v>
      </c>
      <c r="L150" s="1"/>
    </row>
    <row r="151" spans="11:12">
      <c r="K151" s="1" t="s">
        <v>327</v>
      </c>
      <c r="L151" s="1"/>
    </row>
    <row r="152" spans="11:12">
      <c r="K152" s="1" t="s">
        <v>328</v>
      </c>
      <c r="L152" s="1"/>
    </row>
    <row r="153" spans="11:12">
      <c r="K153" s="1" t="s">
        <v>329</v>
      </c>
      <c r="L153" s="1"/>
    </row>
    <row r="154" spans="11:12">
      <c r="K154" s="1" t="s">
        <v>330</v>
      </c>
      <c r="L154" s="1"/>
    </row>
    <row r="155" spans="11:12">
      <c r="K155" s="1" t="s">
        <v>331</v>
      </c>
      <c r="L155" s="1"/>
    </row>
    <row r="156" spans="11:12">
      <c r="K156" s="1" t="s">
        <v>332</v>
      </c>
      <c r="L156" s="1"/>
    </row>
    <row r="157" spans="11:12">
      <c r="K157" s="1" t="s">
        <v>333</v>
      </c>
      <c r="L157" s="1"/>
    </row>
    <row r="158" spans="11:12">
      <c r="K158" s="1" t="s">
        <v>334</v>
      </c>
      <c r="L158" s="1"/>
    </row>
    <row r="159" spans="11:12">
      <c r="K159" s="1" t="s">
        <v>335</v>
      </c>
      <c r="L159" s="1"/>
    </row>
    <row r="160" spans="11:12">
      <c r="K160" s="1" t="s">
        <v>336</v>
      </c>
      <c r="L160" s="1"/>
    </row>
    <row r="161" spans="11:12">
      <c r="K161" s="1" t="s">
        <v>337</v>
      </c>
      <c r="L161" s="1"/>
    </row>
    <row r="162" spans="11:12">
      <c r="K162" s="1" t="s">
        <v>338</v>
      </c>
      <c r="L162" s="1"/>
    </row>
    <row r="163" spans="11:12">
      <c r="K163" s="1" t="s">
        <v>339</v>
      </c>
      <c r="L163" s="1"/>
    </row>
    <row r="164" spans="11:12">
      <c r="K164" s="1" t="s">
        <v>340</v>
      </c>
      <c r="L164" s="1"/>
    </row>
    <row r="165" spans="11:12">
      <c r="K165" s="1" t="s">
        <v>341</v>
      </c>
      <c r="L165" s="1"/>
    </row>
    <row r="166" spans="11:12">
      <c r="K166" s="1" t="s">
        <v>342</v>
      </c>
      <c r="L166" s="1"/>
    </row>
    <row r="167" spans="11:12">
      <c r="K167" s="1" t="s">
        <v>343</v>
      </c>
      <c r="L167" s="1"/>
    </row>
    <row r="168" spans="11:12">
      <c r="K168" s="1" t="s">
        <v>344</v>
      </c>
      <c r="L168" s="1"/>
    </row>
    <row r="169" spans="11:12">
      <c r="K169" s="1" t="s">
        <v>345</v>
      </c>
      <c r="L169" s="1"/>
    </row>
    <row r="170" spans="11:12">
      <c r="K170" s="1" t="s">
        <v>346</v>
      </c>
      <c r="L170" s="1"/>
    </row>
    <row r="171" spans="11:12">
      <c r="K171" s="1" t="s">
        <v>347</v>
      </c>
      <c r="L171" s="1"/>
    </row>
    <row r="172" spans="11:12">
      <c r="K172" s="1" t="s">
        <v>348</v>
      </c>
      <c r="L172" s="1"/>
    </row>
    <row r="173" spans="11:12">
      <c r="K173" s="1" t="s">
        <v>349</v>
      </c>
      <c r="L173" s="1"/>
    </row>
    <row r="174" spans="11:12">
      <c r="K174" s="1" t="s">
        <v>350</v>
      </c>
      <c r="L174" s="1"/>
    </row>
    <row r="175" spans="11:12">
      <c r="K175" s="1" t="s">
        <v>351</v>
      </c>
      <c r="L175" s="1"/>
    </row>
    <row r="176" spans="11:12">
      <c r="K176" s="1" t="s">
        <v>352</v>
      </c>
      <c r="L176" s="1"/>
    </row>
    <row r="177" spans="11:12">
      <c r="K177" s="1" t="s">
        <v>353</v>
      </c>
      <c r="L177" s="1"/>
    </row>
    <row r="178" spans="11:12">
      <c r="K178" s="1" t="s">
        <v>354</v>
      </c>
      <c r="L178" s="1"/>
    </row>
    <row r="179" spans="11:12">
      <c r="K179" s="1" t="s">
        <v>355</v>
      </c>
      <c r="L179" s="1"/>
    </row>
    <row r="180" spans="11:12">
      <c r="K180" s="1" t="s">
        <v>356</v>
      </c>
      <c r="L180" s="1"/>
    </row>
    <row r="181" spans="11:12">
      <c r="K181" s="1" t="s">
        <v>357</v>
      </c>
      <c r="L181" s="1"/>
    </row>
    <row r="182" spans="11:12">
      <c r="K182" s="1" t="s">
        <v>358</v>
      </c>
      <c r="L182" s="1"/>
    </row>
    <row r="183" spans="11:12">
      <c r="K183" s="1" t="s">
        <v>359</v>
      </c>
      <c r="L183" s="1"/>
    </row>
    <row r="184" spans="11:12">
      <c r="K184" s="1" t="s">
        <v>360</v>
      </c>
      <c r="L184" s="1"/>
    </row>
    <row r="185" spans="11:12">
      <c r="K185" s="1" t="s">
        <v>361</v>
      </c>
      <c r="L185" s="1"/>
    </row>
    <row r="186" spans="11:12">
      <c r="K186" s="1" t="s">
        <v>362</v>
      </c>
      <c r="L186" s="1"/>
    </row>
    <row r="187" spans="11:12">
      <c r="K187" s="1" t="s">
        <v>363</v>
      </c>
      <c r="L187" s="1"/>
    </row>
    <row r="188" spans="11:12">
      <c r="K188" s="1" t="s">
        <v>364</v>
      </c>
      <c r="L188" s="1"/>
    </row>
    <row r="189" spans="11:12">
      <c r="K189" s="1" t="s">
        <v>365</v>
      </c>
      <c r="L189" s="1"/>
    </row>
    <row r="190" spans="11:12">
      <c r="K190" s="1" t="s">
        <v>366</v>
      </c>
      <c r="L190" s="1"/>
    </row>
    <row r="191" spans="11:12">
      <c r="K191" s="1" t="s">
        <v>367</v>
      </c>
      <c r="L191" s="1"/>
    </row>
    <row r="192" spans="11:12">
      <c r="K192" s="1" t="s">
        <v>368</v>
      </c>
      <c r="L192" s="1"/>
    </row>
    <row r="193" spans="11:12">
      <c r="K193" s="1" t="s">
        <v>369</v>
      </c>
      <c r="L193" s="1"/>
    </row>
    <row r="194" spans="11:12">
      <c r="K194" s="1" t="s">
        <v>370</v>
      </c>
      <c r="L194" s="1"/>
    </row>
    <row r="195" spans="11:12">
      <c r="K195" s="1" t="s">
        <v>371</v>
      </c>
      <c r="L195" s="1"/>
    </row>
    <row r="196" spans="11:12">
      <c r="K196" s="1" t="s">
        <v>372</v>
      </c>
      <c r="L196" s="1"/>
    </row>
    <row r="197" spans="11:12">
      <c r="K197" s="1" t="s">
        <v>373</v>
      </c>
      <c r="L197" s="1"/>
    </row>
    <row r="198" spans="11:12">
      <c r="K198" s="1" t="s">
        <v>374</v>
      </c>
      <c r="L198" s="1"/>
    </row>
    <row r="199" spans="11:12">
      <c r="K199" s="1" t="s">
        <v>375</v>
      </c>
      <c r="L199" s="1"/>
    </row>
    <row r="200" spans="11:12">
      <c r="K200" s="1" t="s">
        <v>376</v>
      </c>
      <c r="L200" s="1"/>
    </row>
    <row r="201" spans="11:12">
      <c r="K201" s="1" t="s">
        <v>377</v>
      </c>
      <c r="L201" s="1"/>
    </row>
    <row r="202" spans="11:12">
      <c r="K202" s="1" t="s">
        <v>378</v>
      </c>
      <c r="L202" s="1"/>
    </row>
    <row r="203" spans="11:12">
      <c r="K203" s="1" t="s">
        <v>379</v>
      </c>
      <c r="L203" s="1"/>
    </row>
    <row r="204" spans="11:12">
      <c r="K204" s="1" t="s">
        <v>380</v>
      </c>
      <c r="L204" s="1"/>
    </row>
    <row r="205" spans="11:12">
      <c r="K205" s="1" t="s">
        <v>381</v>
      </c>
      <c r="L205" s="1"/>
    </row>
    <row r="206" spans="11:12">
      <c r="K206" s="1" t="s">
        <v>382</v>
      </c>
      <c r="L206" s="1"/>
    </row>
    <row r="207" spans="11:12">
      <c r="K207" s="1" t="s">
        <v>383</v>
      </c>
      <c r="L207" s="1"/>
    </row>
    <row r="208" spans="11:12">
      <c r="K208" s="1" t="s">
        <v>384</v>
      </c>
      <c r="L208" s="1"/>
    </row>
    <row r="209" spans="11:12">
      <c r="K209" s="1" t="s">
        <v>385</v>
      </c>
      <c r="L209" s="1"/>
    </row>
    <row r="210" spans="11:12">
      <c r="K210" s="1" t="s">
        <v>386</v>
      </c>
      <c r="L210" s="1"/>
    </row>
    <row r="211" spans="11:12">
      <c r="K211" s="1" t="s">
        <v>387</v>
      </c>
      <c r="L211" s="1"/>
    </row>
    <row r="212" spans="11:12">
      <c r="K212" s="1" t="s">
        <v>388</v>
      </c>
      <c r="L212" s="1"/>
    </row>
    <row r="213" spans="11:12">
      <c r="K213" s="1" t="s">
        <v>389</v>
      </c>
      <c r="L213" s="1"/>
    </row>
    <row r="214" spans="11:12">
      <c r="K214" s="1" t="s">
        <v>390</v>
      </c>
      <c r="L214" s="1"/>
    </row>
    <row r="215" spans="11:12">
      <c r="K215" s="1" t="s">
        <v>391</v>
      </c>
      <c r="L215" s="1"/>
    </row>
    <row r="216" spans="11:12">
      <c r="K216" s="1" t="s">
        <v>392</v>
      </c>
      <c r="L216" s="1"/>
    </row>
    <row r="217" spans="11:12">
      <c r="K217" s="1" t="s">
        <v>393</v>
      </c>
      <c r="L217" s="1"/>
    </row>
    <row r="218" spans="11:12">
      <c r="K218" s="1" t="s">
        <v>394</v>
      </c>
      <c r="L218" s="1"/>
    </row>
    <row r="219" spans="11:12">
      <c r="K219" s="1" t="s">
        <v>395</v>
      </c>
      <c r="L219" s="1"/>
    </row>
    <row r="220" spans="11:12">
      <c r="K220" s="1" t="s">
        <v>396</v>
      </c>
      <c r="L220" s="1"/>
    </row>
    <row r="221" spans="11:12">
      <c r="K221" s="1" t="s">
        <v>397</v>
      </c>
      <c r="L221" s="1"/>
    </row>
    <row r="222" spans="11:12">
      <c r="K222" s="1" t="s">
        <v>398</v>
      </c>
      <c r="L222" s="1"/>
    </row>
    <row r="223" spans="11:12">
      <c r="K223" s="1" t="s">
        <v>399</v>
      </c>
      <c r="L223" s="1"/>
    </row>
    <row r="224" spans="11:12">
      <c r="K224" s="1" t="s">
        <v>400</v>
      </c>
      <c r="L224" s="1"/>
    </row>
    <row r="225" spans="11:12">
      <c r="K225" s="1" t="s">
        <v>401</v>
      </c>
      <c r="L225" s="1"/>
    </row>
    <row r="226" spans="11:12">
      <c r="K226" s="1" t="s">
        <v>402</v>
      </c>
      <c r="L226" s="1"/>
    </row>
    <row r="227" spans="11:12">
      <c r="K227" s="1" t="s">
        <v>403</v>
      </c>
      <c r="L227" s="1"/>
    </row>
    <row r="228" spans="11:12">
      <c r="K228" s="1" t="s">
        <v>404</v>
      </c>
      <c r="L228" s="1"/>
    </row>
    <row r="229" spans="11:12">
      <c r="K229" s="1" t="s">
        <v>405</v>
      </c>
      <c r="L229" s="1"/>
    </row>
    <row r="230" spans="11:12">
      <c r="K230" s="1" t="s">
        <v>406</v>
      </c>
      <c r="L230" s="1"/>
    </row>
    <row r="231" spans="11:12">
      <c r="K231" s="1" t="s">
        <v>407</v>
      </c>
      <c r="L231" s="1"/>
    </row>
    <row r="232" spans="11:12">
      <c r="K232" s="1" t="s">
        <v>408</v>
      </c>
      <c r="L232" s="1"/>
    </row>
    <row r="233" spans="11:12">
      <c r="K233" s="1" t="s">
        <v>409</v>
      </c>
      <c r="L233" s="1"/>
    </row>
    <row r="234" spans="11:12">
      <c r="K234" s="1" t="s">
        <v>410</v>
      </c>
      <c r="L234" s="1"/>
    </row>
    <row r="235" spans="11:12">
      <c r="K235" s="1" t="s">
        <v>411</v>
      </c>
      <c r="L235" s="1"/>
    </row>
    <row r="236" spans="11:12">
      <c r="K236" s="1" t="s">
        <v>412</v>
      </c>
      <c r="L236" s="1"/>
    </row>
    <row r="237" spans="11:12">
      <c r="K237" s="1" t="s">
        <v>413</v>
      </c>
      <c r="L237" s="1"/>
    </row>
    <row r="238" spans="11:12">
      <c r="K238" s="1" t="s">
        <v>414</v>
      </c>
      <c r="L238" s="1"/>
    </row>
    <row r="239" spans="11:12">
      <c r="K239" s="1" t="s">
        <v>415</v>
      </c>
      <c r="L239" s="1"/>
    </row>
    <row r="240" spans="11:12">
      <c r="K240" s="1" t="s">
        <v>416</v>
      </c>
      <c r="L240" s="1"/>
    </row>
    <row r="241" spans="11:12">
      <c r="K241" s="1" t="s">
        <v>417</v>
      </c>
      <c r="L241" s="1"/>
    </row>
    <row r="242" spans="11:12">
      <c r="K242" s="1" t="s">
        <v>418</v>
      </c>
      <c r="L242" s="1"/>
    </row>
    <row r="243" spans="11:12">
      <c r="K243" s="1" t="s">
        <v>419</v>
      </c>
      <c r="L243" s="1"/>
    </row>
    <row r="244" spans="11:12">
      <c r="K244" s="1" t="s">
        <v>420</v>
      </c>
      <c r="L244" s="1"/>
    </row>
    <row r="245" spans="11:12">
      <c r="K245" s="1" t="s">
        <v>421</v>
      </c>
      <c r="L245" s="1"/>
    </row>
    <row r="246" spans="11:12">
      <c r="K246" s="1" t="s">
        <v>422</v>
      </c>
      <c r="L246" s="1"/>
    </row>
    <row r="247" spans="11:12">
      <c r="K247" s="1" t="s">
        <v>423</v>
      </c>
      <c r="L247" s="1"/>
    </row>
    <row r="248" spans="11:12">
      <c r="K248" s="1" t="s">
        <v>424</v>
      </c>
      <c r="L248" s="1"/>
    </row>
    <row r="249" spans="11:12">
      <c r="K249" s="1" t="s">
        <v>425</v>
      </c>
      <c r="L249" s="1"/>
    </row>
    <row r="250" spans="11:12">
      <c r="K250" s="1" t="s">
        <v>426</v>
      </c>
      <c r="L250" s="1"/>
    </row>
    <row r="251" spans="11:12">
      <c r="K251" s="1" t="s">
        <v>427</v>
      </c>
      <c r="L251" s="1"/>
    </row>
    <row r="252" spans="11:12">
      <c r="K252" s="1" t="s">
        <v>428</v>
      </c>
      <c r="L252" s="1"/>
    </row>
    <row r="253" spans="11:12">
      <c r="K253" s="1" t="s">
        <v>429</v>
      </c>
      <c r="L253" s="1"/>
    </row>
    <row r="254" spans="11:12">
      <c r="K254" s="1" t="s">
        <v>430</v>
      </c>
      <c r="L254" s="1"/>
    </row>
    <row r="255" spans="11:12">
      <c r="K255" s="1" t="s">
        <v>431</v>
      </c>
      <c r="L255" s="1"/>
    </row>
    <row r="256" spans="11:12">
      <c r="K256" s="1" t="s">
        <v>432</v>
      </c>
      <c r="L256" s="1"/>
    </row>
    <row r="257" spans="11:12">
      <c r="K257" s="1" t="s">
        <v>433</v>
      </c>
      <c r="L257" s="1"/>
    </row>
    <row r="258" spans="11:12">
      <c r="K258" s="1" t="s">
        <v>434</v>
      </c>
      <c r="L258" s="1"/>
    </row>
    <row r="259" spans="11:12">
      <c r="K259" s="1" t="s">
        <v>435</v>
      </c>
      <c r="L259" s="1"/>
    </row>
    <row r="260" spans="11:12">
      <c r="K260" s="1" t="s">
        <v>436</v>
      </c>
      <c r="L260" s="1"/>
    </row>
    <row r="261" spans="11:12">
      <c r="K261" s="1" t="s">
        <v>437</v>
      </c>
      <c r="L261" s="1"/>
    </row>
    <row r="262" spans="11:12">
      <c r="K262" s="1" t="s">
        <v>438</v>
      </c>
      <c r="L262" s="1"/>
    </row>
    <row r="263" spans="11:12">
      <c r="K263" s="1" t="s">
        <v>439</v>
      </c>
      <c r="L263" s="1"/>
    </row>
    <row r="264" spans="11:12">
      <c r="K264" s="1" t="s">
        <v>440</v>
      </c>
      <c r="L264" s="1"/>
    </row>
    <row r="265" spans="11:12">
      <c r="K265" s="1" t="s">
        <v>441</v>
      </c>
      <c r="L265" s="1"/>
    </row>
    <row r="266" spans="11:12">
      <c r="K266" s="1" t="s">
        <v>442</v>
      </c>
      <c r="L266" s="1"/>
    </row>
    <row r="267" spans="11:12">
      <c r="K267" s="1" t="s">
        <v>443</v>
      </c>
      <c r="L267" s="1"/>
    </row>
    <row r="268" spans="11:12">
      <c r="K268" s="1" t="s">
        <v>444</v>
      </c>
      <c r="L268" s="1"/>
    </row>
    <row r="269" spans="11:12">
      <c r="K269" s="1" t="s">
        <v>445</v>
      </c>
      <c r="L269" s="1"/>
    </row>
    <row r="270" spans="11:12">
      <c r="K270" s="1" t="s">
        <v>446</v>
      </c>
      <c r="L270" s="1"/>
    </row>
    <row r="271" spans="11:12">
      <c r="K271" s="1" t="s">
        <v>447</v>
      </c>
      <c r="L271" s="1"/>
    </row>
    <row r="272" spans="11:12">
      <c r="K272" s="1" t="s">
        <v>448</v>
      </c>
      <c r="L272" s="1"/>
    </row>
    <row r="273" spans="11:12">
      <c r="K273" s="1" t="s">
        <v>449</v>
      </c>
      <c r="L273" s="1"/>
    </row>
    <row r="274" spans="11:12">
      <c r="K274" s="1" t="s">
        <v>450</v>
      </c>
      <c r="L274" s="1"/>
    </row>
    <row r="275" spans="11:12">
      <c r="K275" s="1" t="s">
        <v>451</v>
      </c>
      <c r="L275" s="1"/>
    </row>
    <row r="276" spans="11:12">
      <c r="K276" s="1" t="s">
        <v>452</v>
      </c>
      <c r="L276" s="1"/>
    </row>
    <row r="277" spans="11:12">
      <c r="K277" s="1" t="s">
        <v>453</v>
      </c>
      <c r="L277" s="1"/>
    </row>
    <row r="278" spans="11:12">
      <c r="K278" s="1" t="s">
        <v>454</v>
      </c>
      <c r="L278" s="1"/>
    </row>
    <row r="279" spans="11:12">
      <c r="K279" s="1" t="s">
        <v>455</v>
      </c>
      <c r="L279" s="1"/>
    </row>
    <row r="280" spans="11:12">
      <c r="K280" s="1" t="s">
        <v>456</v>
      </c>
      <c r="L280" s="1"/>
    </row>
    <row r="281" spans="11:12">
      <c r="K281" s="1" t="s">
        <v>457</v>
      </c>
      <c r="L281" s="1"/>
    </row>
    <row r="282" spans="11:12">
      <c r="K282" s="1" t="s">
        <v>458</v>
      </c>
      <c r="L282" s="1"/>
    </row>
    <row r="283" spans="11:12">
      <c r="K283" s="1" t="s">
        <v>459</v>
      </c>
      <c r="L283" s="1"/>
    </row>
    <row r="284" spans="11:12">
      <c r="K284" s="1" t="s">
        <v>460</v>
      </c>
      <c r="L284" s="1"/>
    </row>
    <row r="285" spans="11:12">
      <c r="K285" s="1" t="s">
        <v>461</v>
      </c>
      <c r="L285" s="1"/>
    </row>
    <row r="286" spans="11:12">
      <c r="K286" s="1" t="s">
        <v>462</v>
      </c>
      <c r="L286" s="1"/>
    </row>
    <row r="287" spans="11:12">
      <c r="K287" s="1" t="s">
        <v>463</v>
      </c>
      <c r="L287" s="1"/>
    </row>
    <row r="288" spans="11:12">
      <c r="K288" s="1" t="s">
        <v>464</v>
      </c>
      <c r="L288" s="1"/>
    </row>
    <row r="289" spans="11:12">
      <c r="K289" s="1" t="s">
        <v>465</v>
      </c>
      <c r="L289" s="1"/>
    </row>
    <row r="290" spans="11:12">
      <c r="K290" s="1" t="s">
        <v>466</v>
      </c>
      <c r="L290" s="1"/>
    </row>
    <row r="291" spans="11:12">
      <c r="K291" s="1" t="s">
        <v>467</v>
      </c>
      <c r="L291" s="1"/>
    </row>
    <row r="292" spans="11:12">
      <c r="K292" s="1" t="s">
        <v>468</v>
      </c>
      <c r="L292" s="1"/>
    </row>
    <row r="293" spans="11:12">
      <c r="K293" s="1" t="s">
        <v>469</v>
      </c>
      <c r="L293" s="1"/>
    </row>
    <row r="294" spans="11:12">
      <c r="K294" s="1" t="s">
        <v>470</v>
      </c>
      <c r="L294" s="1"/>
    </row>
    <row r="295" spans="11:12">
      <c r="K295" s="1" t="s">
        <v>471</v>
      </c>
      <c r="L295" s="1"/>
    </row>
    <row r="296" spans="11:12">
      <c r="K296" s="1" t="s">
        <v>472</v>
      </c>
      <c r="L296" s="1"/>
    </row>
    <row r="297" spans="11:12">
      <c r="K297" s="1" t="s">
        <v>473</v>
      </c>
      <c r="L297" s="1"/>
    </row>
    <row r="298" spans="11:12">
      <c r="K298" s="1" t="s">
        <v>474</v>
      </c>
      <c r="L298" s="1"/>
    </row>
    <row r="299" spans="11:12">
      <c r="K299" s="1" t="s">
        <v>475</v>
      </c>
      <c r="L299" s="1"/>
    </row>
    <row r="300" spans="11:12">
      <c r="K300" s="1" t="s">
        <v>476</v>
      </c>
      <c r="L300" s="1"/>
    </row>
    <row r="301" spans="11:12">
      <c r="K301" s="1" t="s">
        <v>477</v>
      </c>
      <c r="L301" s="1"/>
    </row>
    <row r="302" spans="11:12">
      <c r="K302" s="1" t="s">
        <v>478</v>
      </c>
      <c r="L302" s="1"/>
    </row>
    <row r="303" spans="11:12">
      <c r="K303" s="1" t="s">
        <v>479</v>
      </c>
      <c r="L303" s="1"/>
    </row>
    <row r="304" spans="11:12">
      <c r="K304" s="1" t="s">
        <v>480</v>
      </c>
      <c r="L304" s="1"/>
    </row>
    <row r="305" spans="11:12">
      <c r="K305" s="1" t="s">
        <v>481</v>
      </c>
      <c r="L305" s="1"/>
    </row>
    <row r="306" spans="11:12">
      <c r="K306" s="1" t="s">
        <v>482</v>
      </c>
      <c r="L306" s="1"/>
    </row>
    <row r="307" spans="11:12">
      <c r="K307" s="1" t="s">
        <v>483</v>
      </c>
      <c r="L307" s="1"/>
    </row>
    <row r="308" spans="11:12">
      <c r="K308" s="1" t="s">
        <v>484</v>
      </c>
      <c r="L308" s="1"/>
    </row>
    <row r="309" spans="11:12">
      <c r="K309" s="1" t="s">
        <v>485</v>
      </c>
      <c r="L309" s="1"/>
    </row>
    <row r="310" spans="11:12">
      <c r="K310" s="1" t="s">
        <v>486</v>
      </c>
      <c r="L310" s="1"/>
    </row>
    <row r="311" spans="11:12">
      <c r="K311" s="1" t="s">
        <v>487</v>
      </c>
      <c r="L311" s="1"/>
    </row>
    <row r="312" spans="11:12">
      <c r="K312" s="1" t="s">
        <v>488</v>
      </c>
      <c r="L312" s="1"/>
    </row>
    <row r="313" spans="11:12">
      <c r="K313" s="1" t="s">
        <v>489</v>
      </c>
      <c r="L313" s="1"/>
    </row>
    <row r="314" spans="11:12">
      <c r="K314" s="1" t="s">
        <v>490</v>
      </c>
      <c r="L314" s="1"/>
    </row>
    <row r="315" spans="11:12">
      <c r="K315" s="1" t="s">
        <v>491</v>
      </c>
      <c r="L315" s="1"/>
    </row>
    <row r="316" spans="11:12">
      <c r="K316" s="1" t="s">
        <v>492</v>
      </c>
      <c r="L316" s="1"/>
    </row>
    <row r="317" spans="11:12">
      <c r="K317" s="1" t="s">
        <v>493</v>
      </c>
      <c r="L317" s="1"/>
    </row>
    <row r="318" spans="11:12">
      <c r="K318" s="1" t="s">
        <v>494</v>
      </c>
      <c r="L318" s="1"/>
    </row>
    <row r="319" spans="11:12">
      <c r="K319" s="1" t="s">
        <v>495</v>
      </c>
      <c r="L319" s="1"/>
    </row>
    <row r="320" spans="11:12">
      <c r="K320" s="1" t="s">
        <v>496</v>
      </c>
      <c r="L320" s="1"/>
    </row>
    <row r="321" spans="11:12">
      <c r="K321" s="1" t="s">
        <v>497</v>
      </c>
      <c r="L321" s="1"/>
    </row>
    <row r="322" spans="11:12">
      <c r="K322" s="1" t="s">
        <v>498</v>
      </c>
      <c r="L322" s="1"/>
    </row>
    <row r="323" spans="11:12">
      <c r="K323" s="1" t="s">
        <v>499</v>
      </c>
      <c r="L323" s="1"/>
    </row>
    <row r="324" spans="11:12">
      <c r="K324" s="1" t="s">
        <v>500</v>
      </c>
      <c r="L324" s="1"/>
    </row>
    <row r="325" spans="11:12">
      <c r="K325" s="1" t="s">
        <v>501</v>
      </c>
      <c r="L325" s="1"/>
    </row>
    <row r="326" spans="11:12">
      <c r="K326" s="1" t="s">
        <v>502</v>
      </c>
      <c r="L326" s="1"/>
    </row>
    <row r="327" spans="11:12">
      <c r="K327" s="1" t="s">
        <v>503</v>
      </c>
      <c r="L327" s="1"/>
    </row>
    <row r="328" spans="11:12">
      <c r="K328" s="1" t="s">
        <v>504</v>
      </c>
      <c r="L328" s="1"/>
    </row>
    <row r="329" spans="11:12">
      <c r="K329" s="1" t="s">
        <v>505</v>
      </c>
      <c r="L329" s="1"/>
    </row>
    <row r="330" spans="11:12">
      <c r="K330" s="1" t="s">
        <v>506</v>
      </c>
      <c r="L330" s="1"/>
    </row>
    <row r="331" spans="11:12">
      <c r="K331" s="1" t="s">
        <v>507</v>
      </c>
      <c r="L331" s="1"/>
    </row>
    <row r="332" spans="11:12">
      <c r="K332" s="1" t="s">
        <v>508</v>
      </c>
      <c r="L332" s="1"/>
    </row>
    <row r="333" spans="11:12">
      <c r="K333" s="1" t="s">
        <v>509</v>
      </c>
      <c r="L333" s="1"/>
    </row>
    <row r="334" spans="11:12">
      <c r="K334" s="1" t="s">
        <v>510</v>
      </c>
      <c r="L334" s="1"/>
    </row>
    <row r="335" spans="11:12">
      <c r="K335" s="1" t="s">
        <v>511</v>
      </c>
      <c r="L335" s="1"/>
    </row>
    <row r="336" spans="11:12">
      <c r="K336" s="1" t="s">
        <v>512</v>
      </c>
      <c r="L336" s="1"/>
    </row>
    <row r="337" spans="11:12">
      <c r="K337" s="1" t="s">
        <v>513</v>
      </c>
      <c r="L337" s="1"/>
    </row>
    <row r="338" spans="11:12">
      <c r="K338" s="1" t="s">
        <v>514</v>
      </c>
      <c r="L338" s="1"/>
    </row>
    <row r="339" spans="11:12">
      <c r="K339" s="1" t="s">
        <v>515</v>
      </c>
      <c r="L339" s="1"/>
    </row>
    <row r="340" spans="11:12">
      <c r="K340" s="1" t="s">
        <v>516</v>
      </c>
      <c r="L340" s="1"/>
    </row>
    <row r="341" spans="11:12">
      <c r="K341" s="1" t="s">
        <v>517</v>
      </c>
      <c r="L341" s="1"/>
    </row>
    <row r="342" spans="11:12">
      <c r="K342" s="1" t="s">
        <v>62</v>
      </c>
      <c r="L342" s="1"/>
    </row>
    <row r="343" spans="11:12">
      <c r="K343" s="1" t="s">
        <v>518</v>
      </c>
      <c r="L343" s="1"/>
    </row>
    <row r="344" spans="11:12">
      <c r="K344" s="1" t="s">
        <v>66</v>
      </c>
      <c r="L344" s="1"/>
    </row>
    <row r="345" spans="11:12">
      <c r="K345" s="1" t="s">
        <v>519</v>
      </c>
      <c r="L345" s="1"/>
    </row>
    <row r="346" spans="11:12">
      <c r="K346" s="1" t="s">
        <v>520</v>
      </c>
      <c r="L346" s="1"/>
    </row>
    <row r="347" spans="11:12">
      <c r="K347" s="1" t="s">
        <v>521</v>
      </c>
      <c r="L347" s="1"/>
    </row>
    <row r="348" spans="11:12">
      <c r="K348" s="1" t="s">
        <v>522</v>
      </c>
      <c r="L348" s="1"/>
    </row>
    <row r="349" spans="11:12">
      <c r="K349" s="1" t="s">
        <v>523</v>
      </c>
      <c r="L349" s="1"/>
    </row>
    <row r="350" spans="11:12">
      <c r="K350" s="1" t="s">
        <v>524</v>
      </c>
      <c r="L350" s="1"/>
    </row>
    <row r="351" spans="11:12">
      <c r="K351" s="1" t="s">
        <v>525</v>
      </c>
      <c r="L351" s="1"/>
    </row>
    <row r="352" spans="11:12">
      <c r="K352" s="1" t="s">
        <v>526</v>
      </c>
      <c r="L352" s="1"/>
    </row>
    <row r="353" spans="11:12">
      <c r="K353" s="1" t="s">
        <v>527</v>
      </c>
      <c r="L353" s="1"/>
    </row>
    <row r="354" spans="11:12">
      <c r="K354" s="1" t="s">
        <v>528</v>
      </c>
      <c r="L354" s="1"/>
    </row>
    <row r="355" spans="11:12">
      <c r="K355" s="1" t="s">
        <v>529</v>
      </c>
      <c r="L355" s="1"/>
    </row>
    <row r="356" spans="11:12">
      <c r="K356" s="1" t="s">
        <v>530</v>
      </c>
      <c r="L356" s="1"/>
    </row>
    <row r="357" spans="11:12">
      <c r="K357" s="1" t="s">
        <v>531</v>
      </c>
      <c r="L357" s="1"/>
    </row>
    <row r="358" spans="11:12">
      <c r="K358" s="1" t="s">
        <v>532</v>
      </c>
      <c r="L358" s="1"/>
    </row>
    <row r="359" spans="11:12">
      <c r="K359" s="1" t="s">
        <v>533</v>
      </c>
      <c r="L359" s="1"/>
    </row>
    <row r="360" spans="11:12">
      <c r="K360" s="1" t="s">
        <v>534</v>
      </c>
      <c r="L360" s="1"/>
    </row>
    <row r="361" spans="11:12">
      <c r="K361" s="1" t="s">
        <v>535</v>
      </c>
      <c r="L361" s="1"/>
    </row>
    <row r="362" spans="11:12">
      <c r="K362" s="1" t="s">
        <v>536</v>
      </c>
      <c r="L362" s="1"/>
    </row>
    <row r="363" spans="11:12">
      <c r="K363" s="1" t="s">
        <v>537</v>
      </c>
      <c r="L363" s="1"/>
    </row>
    <row r="364" spans="11:12">
      <c r="K364" s="1" t="s">
        <v>538</v>
      </c>
      <c r="L364" s="1"/>
    </row>
    <row r="365" spans="11:12">
      <c r="K365" s="1" t="s">
        <v>539</v>
      </c>
      <c r="L365" s="1"/>
    </row>
    <row r="366" spans="11:12">
      <c r="K366" s="1" t="s">
        <v>540</v>
      </c>
      <c r="L366" s="1"/>
    </row>
    <row r="367" spans="11:12">
      <c r="K367" s="1" t="s">
        <v>541</v>
      </c>
      <c r="L367" s="1"/>
    </row>
    <row r="368" spans="11:12">
      <c r="K368" s="1" t="s">
        <v>542</v>
      </c>
      <c r="L368" s="1"/>
    </row>
    <row r="369" spans="11:12">
      <c r="K369" s="1" t="s">
        <v>543</v>
      </c>
      <c r="L369" s="1"/>
    </row>
    <row r="370" spans="11:12">
      <c r="K370" s="1" t="s">
        <v>544</v>
      </c>
      <c r="L370" s="1"/>
    </row>
    <row r="371" spans="11:12">
      <c r="K371" s="1" t="s">
        <v>545</v>
      </c>
      <c r="L371" s="1"/>
    </row>
    <row r="372" spans="11:12">
      <c r="K372" s="1" t="s">
        <v>546</v>
      </c>
      <c r="L372" s="1"/>
    </row>
    <row r="373" spans="11:12">
      <c r="K373" s="1" t="s">
        <v>547</v>
      </c>
      <c r="L373" s="1"/>
    </row>
    <row r="374" spans="11:12">
      <c r="K374" s="1" t="s">
        <v>548</v>
      </c>
      <c r="L374" s="1"/>
    </row>
    <row r="375" spans="11:12">
      <c r="K375" s="1" t="s">
        <v>549</v>
      </c>
      <c r="L375" s="1"/>
    </row>
    <row r="376" spans="11:12">
      <c r="K376" s="1" t="s">
        <v>550</v>
      </c>
      <c r="L376" s="1"/>
    </row>
    <row r="377" spans="11:12">
      <c r="K377" s="1" t="s">
        <v>551</v>
      </c>
      <c r="L377" s="1"/>
    </row>
    <row r="378" spans="11:12">
      <c r="K378" s="1" t="s">
        <v>552</v>
      </c>
      <c r="L378" s="1"/>
    </row>
    <row r="379" spans="11:12">
      <c r="K379" s="1" t="s">
        <v>553</v>
      </c>
      <c r="L379" s="1"/>
    </row>
    <row r="380" spans="11:12">
      <c r="K380" s="1" t="s">
        <v>554</v>
      </c>
      <c r="L380" s="1"/>
    </row>
    <row r="381" spans="11:12">
      <c r="K381" s="1" t="s">
        <v>555</v>
      </c>
      <c r="L381" s="1"/>
    </row>
    <row r="382" spans="11:12">
      <c r="K382" s="1" t="s">
        <v>556</v>
      </c>
      <c r="L382" s="1"/>
    </row>
    <row r="383" spans="11:12" ht="29">
      <c r="K383" s="1" t="s">
        <v>557</v>
      </c>
      <c r="L383" s="1"/>
    </row>
    <row r="384" spans="11:12">
      <c r="K384" s="1" t="s">
        <v>558</v>
      </c>
      <c r="L384" s="1"/>
    </row>
    <row r="385" spans="11:12">
      <c r="K385" s="1" t="s">
        <v>559</v>
      </c>
      <c r="L385" s="1"/>
    </row>
    <row r="386" spans="11:12">
      <c r="K386" s="1" t="s">
        <v>560</v>
      </c>
      <c r="L386" s="1"/>
    </row>
    <row r="387" spans="11:12">
      <c r="K387" s="1" t="s">
        <v>561</v>
      </c>
      <c r="L387" s="1"/>
    </row>
    <row r="388" spans="11:12">
      <c r="K388" s="1" t="s">
        <v>562</v>
      </c>
      <c r="L388" s="1"/>
    </row>
    <row r="389" spans="11:12">
      <c r="K389" s="1" t="s">
        <v>563</v>
      </c>
      <c r="L389" s="1"/>
    </row>
    <row r="390" spans="11:12">
      <c r="K390" s="1" t="s">
        <v>564</v>
      </c>
      <c r="L390" s="1"/>
    </row>
    <row r="391" spans="11:12">
      <c r="K391" s="1" t="s">
        <v>565</v>
      </c>
      <c r="L391" s="1"/>
    </row>
    <row r="392" spans="11:12">
      <c r="K392" s="1" t="s">
        <v>566</v>
      </c>
      <c r="L392" s="1"/>
    </row>
    <row r="393" spans="11:12">
      <c r="K393" s="1" t="s">
        <v>567</v>
      </c>
      <c r="L393" s="1"/>
    </row>
    <row r="394" spans="11:12">
      <c r="K394" s="1" t="s">
        <v>568</v>
      </c>
      <c r="L394" s="1"/>
    </row>
    <row r="395" spans="11:12">
      <c r="K395" s="1" t="s">
        <v>569</v>
      </c>
      <c r="L395" s="1"/>
    </row>
    <row r="396" spans="11:12">
      <c r="K396" s="1" t="s">
        <v>570</v>
      </c>
      <c r="L396" s="1"/>
    </row>
    <row r="397" spans="11:12" ht="29">
      <c r="K397" s="1" t="s">
        <v>571</v>
      </c>
      <c r="L397" s="1"/>
    </row>
    <row r="398" spans="11:12">
      <c r="K398" s="1" t="s">
        <v>572</v>
      </c>
      <c r="L398" s="1"/>
    </row>
    <row r="399" spans="11:12">
      <c r="K399" s="1" t="s">
        <v>573</v>
      </c>
      <c r="L399" s="1"/>
    </row>
    <row r="400" spans="11:12">
      <c r="K400" s="1" t="s">
        <v>574</v>
      </c>
      <c r="L400" s="1"/>
    </row>
    <row r="401" spans="11:12">
      <c r="K401" s="1" t="s">
        <v>575</v>
      </c>
      <c r="L401" s="1"/>
    </row>
    <row r="402" spans="11:12">
      <c r="K402" s="1" t="s">
        <v>576</v>
      </c>
      <c r="L402" s="1"/>
    </row>
    <row r="403" spans="11:12">
      <c r="K403" s="1" t="s">
        <v>577</v>
      </c>
      <c r="L403" s="1"/>
    </row>
    <row r="404" spans="11:12">
      <c r="K404" s="1" t="s">
        <v>578</v>
      </c>
      <c r="L404" s="1"/>
    </row>
    <row r="405" spans="11:12">
      <c r="K405" s="1" t="s">
        <v>579</v>
      </c>
      <c r="L405" s="1"/>
    </row>
    <row r="406" spans="11:12">
      <c r="K406" s="1" t="s">
        <v>580</v>
      </c>
      <c r="L406" s="1"/>
    </row>
    <row r="407" spans="11:12">
      <c r="K407" s="1" t="s">
        <v>581</v>
      </c>
      <c r="L407" s="1"/>
    </row>
    <row r="408" spans="11:12">
      <c r="K408" s="1" t="s">
        <v>582</v>
      </c>
      <c r="L408" s="1"/>
    </row>
    <row r="409" spans="11:12">
      <c r="K409" s="1" t="s">
        <v>583</v>
      </c>
      <c r="L409" s="1"/>
    </row>
    <row r="410" spans="11:12">
      <c r="K410" s="1" t="s">
        <v>584</v>
      </c>
      <c r="L410" s="1"/>
    </row>
    <row r="411" spans="11:12">
      <c r="K411" s="1" t="s">
        <v>585</v>
      </c>
      <c r="L411" s="1"/>
    </row>
    <row r="412" spans="11:12">
      <c r="K412" s="1" t="s">
        <v>586</v>
      </c>
      <c r="L412" s="1"/>
    </row>
    <row r="413" spans="11:12">
      <c r="K413" s="1" t="s">
        <v>587</v>
      </c>
      <c r="L413" s="1"/>
    </row>
    <row r="414" spans="11:12">
      <c r="K414" s="1" t="s">
        <v>588</v>
      </c>
      <c r="L414" s="1"/>
    </row>
    <row r="415" spans="11:12">
      <c r="K415" s="1" t="s">
        <v>589</v>
      </c>
      <c r="L415" s="1"/>
    </row>
    <row r="416" spans="11:12">
      <c r="K416" s="1" t="s">
        <v>590</v>
      </c>
      <c r="L416" s="1"/>
    </row>
    <row r="417" spans="11:12">
      <c r="K417" s="1" t="s">
        <v>591</v>
      </c>
      <c r="L417" s="1"/>
    </row>
    <row r="418" spans="11:12">
      <c r="K418" s="1" t="s">
        <v>592</v>
      </c>
      <c r="L418" s="1"/>
    </row>
    <row r="419" spans="11:12">
      <c r="K419" s="1" t="s">
        <v>593</v>
      </c>
      <c r="L419" s="1"/>
    </row>
    <row r="420" spans="11:12">
      <c r="K420" s="1" t="s">
        <v>594</v>
      </c>
      <c r="L420" s="1"/>
    </row>
    <row r="421" spans="11:12">
      <c r="K421" s="1" t="s">
        <v>595</v>
      </c>
      <c r="L421" s="1"/>
    </row>
    <row r="422" spans="11:12">
      <c r="K422" s="1" t="s">
        <v>596</v>
      </c>
      <c r="L422" s="1"/>
    </row>
    <row r="423" spans="11:12">
      <c r="K423" s="1" t="s">
        <v>597</v>
      </c>
      <c r="L423" s="1"/>
    </row>
    <row r="424" spans="11:12">
      <c r="K424" s="1" t="s">
        <v>598</v>
      </c>
      <c r="L424" s="1"/>
    </row>
    <row r="425" spans="11:12">
      <c r="K425" s="1" t="s">
        <v>599</v>
      </c>
      <c r="L425" s="1"/>
    </row>
    <row r="426" spans="11:12">
      <c r="K426" s="1" t="s">
        <v>600</v>
      </c>
      <c r="L426" s="1"/>
    </row>
    <row r="427" spans="11:12">
      <c r="K427" s="1" t="s">
        <v>601</v>
      </c>
      <c r="L427" s="1"/>
    </row>
    <row r="428" spans="11:12">
      <c r="K428" s="1" t="s">
        <v>602</v>
      </c>
      <c r="L428" s="1"/>
    </row>
    <row r="429" spans="11:12">
      <c r="K429" s="1" t="s">
        <v>603</v>
      </c>
      <c r="L429" s="1"/>
    </row>
    <row r="430" spans="11:12">
      <c r="K430" s="1" t="s">
        <v>604</v>
      </c>
      <c r="L430" s="1"/>
    </row>
    <row r="431" spans="11:12">
      <c r="K431" s="1" t="s">
        <v>605</v>
      </c>
      <c r="L431" s="1"/>
    </row>
    <row r="432" spans="11:12">
      <c r="K432" s="1" t="s">
        <v>606</v>
      </c>
      <c r="L432" s="1"/>
    </row>
    <row r="433" spans="11:12">
      <c r="K433" s="1" t="s">
        <v>607</v>
      </c>
      <c r="L433" s="1"/>
    </row>
    <row r="434" spans="11:12">
      <c r="K434" s="1" t="s">
        <v>608</v>
      </c>
      <c r="L434" s="1"/>
    </row>
    <row r="435" spans="11:12">
      <c r="K435" s="1" t="s">
        <v>609</v>
      </c>
      <c r="L435" s="1"/>
    </row>
    <row r="436" spans="11:12" ht="29">
      <c r="K436" s="1" t="s">
        <v>610</v>
      </c>
      <c r="L436" s="1"/>
    </row>
    <row r="437" spans="11:12">
      <c r="K437" s="1" t="s">
        <v>611</v>
      </c>
      <c r="L437" s="1"/>
    </row>
    <row r="438" spans="11:12">
      <c r="K438" s="1" t="s">
        <v>612</v>
      </c>
      <c r="L438" s="1"/>
    </row>
    <row r="439" spans="11:12">
      <c r="K439" s="1" t="s">
        <v>613</v>
      </c>
      <c r="L439" s="1"/>
    </row>
    <row r="440" spans="11:12">
      <c r="K440" s="1" t="s">
        <v>614</v>
      </c>
      <c r="L440" s="1"/>
    </row>
    <row r="441" spans="11:12">
      <c r="K441" s="1" t="s">
        <v>615</v>
      </c>
      <c r="L441" s="1"/>
    </row>
    <row r="442" spans="11:12">
      <c r="K442" s="1" t="s">
        <v>616</v>
      </c>
      <c r="L442" s="1"/>
    </row>
    <row r="443" spans="11:12">
      <c r="K443" s="1" t="s">
        <v>59</v>
      </c>
      <c r="L443" s="1"/>
    </row>
    <row r="444" spans="11:12">
      <c r="K444" s="1" t="s">
        <v>617</v>
      </c>
      <c r="L444" s="1"/>
    </row>
    <row r="445" spans="11:12">
      <c r="K445" s="1" t="s">
        <v>618</v>
      </c>
      <c r="L445" s="1"/>
    </row>
    <row r="446" spans="11:12">
      <c r="K446" s="1" t="s">
        <v>619</v>
      </c>
      <c r="L446" s="1"/>
    </row>
    <row r="447" spans="11:12">
      <c r="K447" s="1" t="s">
        <v>620</v>
      </c>
      <c r="L447" s="1"/>
    </row>
    <row r="448" spans="11:12">
      <c r="K448" s="1" t="s">
        <v>621</v>
      </c>
      <c r="L448" s="1"/>
    </row>
    <row r="449" spans="11:12">
      <c r="K449" s="1" t="s">
        <v>622</v>
      </c>
      <c r="L449" s="1"/>
    </row>
    <row r="450" spans="11:12">
      <c r="K450" s="1" t="s">
        <v>623</v>
      </c>
      <c r="L450" s="1"/>
    </row>
    <row r="451" spans="11:12">
      <c r="K451" s="1" t="s">
        <v>624</v>
      </c>
      <c r="L451" s="1"/>
    </row>
    <row r="452" spans="11:12">
      <c r="K452" s="1" t="s">
        <v>625</v>
      </c>
      <c r="L452" s="1"/>
    </row>
    <row r="453" spans="11:12">
      <c r="K453" s="1" t="s">
        <v>626</v>
      </c>
      <c r="L453" s="1"/>
    </row>
    <row r="454" spans="11:12">
      <c r="K454" s="1" t="s">
        <v>627</v>
      </c>
      <c r="L454" s="1"/>
    </row>
    <row r="455" spans="11:12">
      <c r="K455" s="1" t="s">
        <v>628</v>
      </c>
      <c r="L455" s="1"/>
    </row>
    <row r="456" spans="11:12">
      <c r="K456" s="1" t="s">
        <v>629</v>
      </c>
      <c r="L456" s="1"/>
    </row>
    <row r="457" spans="11:12">
      <c r="K457" s="1" t="s">
        <v>630</v>
      </c>
      <c r="L457" s="1"/>
    </row>
    <row r="458" spans="11:12">
      <c r="K458" s="1" t="s">
        <v>631</v>
      </c>
      <c r="L458" s="1"/>
    </row>
    <row r="459" spans="11:12">
      <c r="K459" s="1" t="s">
        <v>632</v>
      </c>
      <c r="L459" s="1"/>
    </row>
    <row r="460" spans="11:12">
      <c r="K460" s="1" t="s">
        <v>633</v>
      </c>
      <c r="L460" s="1"/>
    </row>
    <row r="461" spans="11:12">
      <c r="K461" s="1" t="s">
        <v>634</v>
      </c>
      <c r="L461" s="1"/>
    </row>
    <row r="462" spans="11:12">
      <c r="K462" s="1" t="s">
        <v>635</v>
      </c>
      <c r="L462" s="1"/>
    </row>
    <row r="463" spans="11:12">
      <c r="K463" s="1" t="s">
        <v>636</v>
      </c>
      <c r="L463" s="1"/>
    </row>
    <row r="464" spans="11:12">
      <c r="K464" s="1" t="s">
        <v>637</v>
      </c>
      <c r="L464" s="1"/>
    </row>
    <row r="465" spans="11:12">
      <c r="K465" s="1" t="s">
        <v>638</v>
      </c>
      <c r="L465" s="1"/>
    </row>
    <row r="466" spans="11:12">
      <c r="K466" s="1" t="s">
        <v>639</v>
      </c>
      <c r="L466" s="1"/>
    </row>
    <row r="467" spans="11:12">
      <c r="K467" s="1" t="s">
        <v>640</v>
      </c>
      <c r="L467" s="1"/>
    </row>
    <row r="468" spans="11:12">
      <c r="K468" s="1" t="s">
        <v>641</v>
      </c>
      <c r="L468" s="1"/>
    </row>
    <row r="469" spans="11:12">
      <c r="K469" s="1" t="s">
        <v>642</v>
      </c>
      <c r="L469" s="1"/>
    </row>
    <row r="470" spans="11:12">
      <c r="K470" s="1" t="s">
        <v>643</v>
      </c>
      <c r="L470" s="1"/>
    </row>
    <row r="471" spans="11:12">
      <c r="K471" s="1" t="s">
        <v>644</v>
      </c>
      <c r="L471" s="1"/>
    </row>
    <row r="472" spans="11:12">
      <c r="K472" s="1" t="s">
        <v>645</v>
      </c>
      <c r="L472" s="1"/>
    </row>
    <row r="473" spans="11:12">
      <c r="K473" s="1" t="s">
        <v>646</v>
      </c>
      <c r="L473" s="1"/>
    </row>
    <row r="474" spans="11:12">
      <c r="K474" s="1" t="s">
        <v>647</v>
      </c>
      <c r="L474" s="1"/>
    </row>
    <row r="475" spans="11:12">
      <c r="K475" s="1" t="s">
        <v>648</v>
      </c>
      <c r="L475" s="1"/>
    </row>
    <row r="476" spans="11:12">
      <c r="K476" s="1" t="s">
        <v>649</v>
      </c>
      <c r="L476" s="1"/>
    </row>
    <row r="477" spans="11:12">
      <c r="K477" s="1" t="s">
        <v>650</v>
      </c>
      <c r="L477" s="1"/>
    </row>
    <row r="478" spans="11:12">
      <c r="K478" s="1" t="s">
        <v>651</v>
      </c>
      <c r="L478" s="1"/>
    </row>
    <row r="479" spans="11:12">
      <c r="K479" s="1" t="s">
        <v>652</v>
      </c>
      <c r="L479" s="1"/>
    </row>
    <row r="480" spans="11:12">
      <c r="K480" s="1" t="s">
        <v>653</v>
      </c>
      <c r="L480" s="1"/>
    </row>
    <row r="481" spans="11:12">
      <c r="K481" s="1" t="s">
        <v>654</v>
      </c>
      <c r="L481" s="1"/>
    </row>
    <row r="482" spans="11:12">
      <c r="K482" s="1" t="s">
        <v>655</v>
      </c>
      <c r="L482" s="1"/>
    </row>
    <row r="483" spans="11:12">
      <c r="K483" s="1" t="s">
        <v>656</v>
      </c>
      <c r="L483" s="1"/>
    </row>
    <row r="484" spans="11:12">
      <c r="K484" s="1" t="s">
        <v>657</v>
      </c>
      <c r="L484" s="1"/>
    </row>
    <row r="485" spans="11:12">
      <c r="K485" s="1" t="s">
        <v>658</v>
      </c>
      <c r="L485" s="1"/>
    </row>
    <row r="486" spans="11:12">
      <c r="K486" s="1" t="s">
        <v>659</v>
      </c>
      <c r="L486" s="1"/>
    </row>
    <row r="487" spans="11:12">
      <c r="K487" s="1" t="s">
        <v>660</v>
      </c>
      <c r="L487" s="1"/>
    </row>
    <row r="488" spans="11:12">
      <c r="K488" s="1" t="s">
        <v>661</v>
      </c>
      <c r="L488" s="1"/>
    </row>
    <row r="489" spans="11:12">
      <c r="K489" s="1" t="s">
        <v>662</v>
      </c>
      <c r="L489" s="1"/>
    </row>
    <row r="490" spans="11:12">
      <c r="K490" s="1" t="s">
        <v>663</v>
      </c>
      <c r="L490" s="1"/>
    </row>
    <row r="491" spans="11:12">
      <c r="K491" s="1" t="s">
        <v>664</v>
      </c>
      <c r="L491" s="1"/>
    </row>
    <row r="492" spans="11:12">
      <c r="K492" s="1" t="s">
        <v>665</v>
      </c>
      <c r="L492" s="1"/>
    </row>
    <row r="493" spans="11:12">
      <c r="K493" s="1" t="s">
        <v>666</v>
      </c>
      <c r="L493" s="1"/>
    </row>
    <row r="494" spans="11:12">
      <c r="K494" s="1" t="s">
        <v>667</v>
      </c>
      <c r="L494" s="1"/>
    </row>
    <row r="495" spans="11:12" ht="29">
      <c r="K495" s="1" t="s">
        <v>668</v>
      </c>
      <c r="L495" s="1"/>
    </row>
    <row r="496" spans="11:12">
      <c r="K496" s="1" t="s">
        <v>669</v>
      </c>
      <c r="L496" s="1"/>
    </row>
    <row r="497" spans="11:12">
      <c r="K497" s="1" t="s">
        <v>670</v>
      </c>
      <c r="L497" s="1"/>
    </row>
    <row r="498" spans="11:12">
      <c r="K498" s="1" t="s">
        <v>671</v>
      </c>
      <c r="L498" s="1"/>
    </row>
    <row r="499" spans="11:12">
      <c r="K499" s="1" t="s">
        <v>672</v>
      </c>
      <c r="L499" s="1"/>
    </row>
    <row r="500" spans="11:12">
      <c r="K500" s="1" t="s">
        <v>673</v>
      </c>
      <c r="L500" s="1"/>
    </row>
    <row r="501" spans="11:12">
      <c r="K501" s="1" t="s">
        <v>674</v>
      </c>
      <c r="L501" s="1"/>
    </row>
    <row r="502" spans="11:12">
      <c r="K502" s="1" t="s">
        <v>675</v>
      </c>
      <c r="L502" s="1"/>
    </row>
    <row r="503" spans="11:12">
      <c r="K503" s="1" t="s">
        <v>676</v>
      </c>
      <c r="L503" s="1"/>
    </row>
    <row r="504" spans="11:12">
      <c r="K504" s="1" t="s">
        <v>677</v>
      </c>
      <c r="L504" s="1"/>
    </row>
    <row r="505" spans="11:12" ht="29">
      <c r="K505" s="1" t="s">
        <v>678</v>
      </c>
      <c r="L505" s="1"/>
    </row>
    <row r="506" spans="11:12">
      <c r="K506" s="1" t="s">
        <v>679</v>
      </c>
      <c r="L506" s="1"/>
    </row>
    <row r="507" spans="11:12">
      <c r="K507" s="1" t="s">
        <v>680</v>
      </c>
      <c r="L507" s="1"/>
    </row>
    <row r="508" spans="11:12">
      <c r="K508" s="1" t="s">
        <v>60</v>
      </c>
      <c r="L508" s="1"/>
    </row>
    <row r="509" spans="11:12">
      <c r="K509" s="1" t="s">
        <v>681</v>
      </c>
      <c r="L509" s="1"/>
    </row>
    <row r="510" spans="11:12">
      <c r="K510" s="1" t="s">
        <v>682</v>
      </c>
      <c r="L510" s="1"/>
    </row>
    <row r="511" spans="11:12">
      <c r="K511" s="1" t="s">
        <v>683</v>
      </c>
      <c r="L511" s="1"/>
    </row>
    <row r="512" spans="11:12">
      <c r="K512" s="1" t="s">
        <v>684</v>
      </c>
      <c r="L512" s="1"/>
    </row>
    <row r="513" spans="11:12">
      <c r="K513" s="1" t="s">
        <v>685</v>
      </c>
      <c r="L513" s="1"/>
    </row>
    <row r="514" spans="11:12">
      <c r="K514" s="1" t="s">
        <v>686</v>
      </c>
      <c r="L514" s="1"/>
    </row>
    <row r="515" spans="11:12">
      <c r="K515" s="1" t="s">
        <v>687</v>
      </c>
      <c r="L515" s="1"/>
    </row>
    <row r="516" spans="11:12">
      <c r="K516" s="1" t="s">
        <v>688</v>
      </c>
      <c r="L516" s="1"/>
    </row>
    <row r="517" spans="11:12">
      <c r="K517" s="1" t="s">
        <v>689</v>
      </c>
      <c r="L517" s="1"/>
    </row>
    <row r="518" spans="11:12">
      <c r="K518" s="1" t="s">
        <v>690</v>
      </c>
      <c r="L518" s="1"/>
    </row>
    <row r="519" spans="11:12">
      <c r="K519" s="1" t="s">
        <v>691</v>
      </c>
      <c r="L519" s="1"/>
    </row>
    <row r="520" spans="11:12">
      <c r="K520" s="1" t="s">
        <v>692</v>
      </c>
      <c r="L520" s="1"/>
    </row>
    <row r="521" spans="11:12">
      <c r="K521" s="1" t="s">
        <v>693</v>
      </c>
      <c r="L521" s="1"/>
    </row>
    <row r="522" spans="11:12">
      <c r="K522" s="1" t="s">
        <v>694</v>
      </c>
      <c r="L522" s="1"/>
    </row>
    <row r="523" spans="11:12">
      <c r="K523" s="1" t="s">
        <v>695</v>
      </c>
      <c r="L523" s="1"/>
    </row>
    <row r="524" spans="11:12">
      <c r="K524" s="1" t="s">
        <v>696</v>
      </c>
      <c r="L524" s="1"/>
    </row>
    <row r="525" spans="11:12">
      <c r="K525" s="1" t="s">
        <v>697</v>
      </c>
      <c r="L525" s="1"/>
    </row>
    <row r="526" spans="11:12">
      <c r="K526" s="1" t="s">
        <v>698</v>
      </c>
      <c r="L526" s="1"/>
    </row>
    <row r="527" spans="11:12">
      <c r="K527" s="1" t="s">
        <v>699</v>
      </c>
      <c r="L527" s="1"/>
    </row>
    <row r="528" spans="11:12">
      <c r="K528" s="1" t="s">
        <v>700</v>
      </c>
      <c r="L528" s="1"/>
    </row>
    <row r="529" spans="11:12">
      <c r="K529" s="1" t="s">
        <v>701</v>
      </c>
      <c r="L529" s="1"/>
    </row>
    <row r="530" spans="11:12">
      <c r="K530" s="1" t="s">
        <v>702</v>
      </c>
      <c r="L530" s="1"/>
    </row>
    <row r="531" spans="11:12">
      <c r="K531" s="1" t="s">
        <v>703</v>
      </c>
      <c r="L531" s="1"/>
    </row>
    <row r="532" spans="11:12">
      <c r="K532" s="1" t="s">
        <v>704</v>
      </c>
      <c r="L532" s="1"/>
    </row>
    <row r="533" spans="11:12">
      <c r="K533" s="1" t="s">
        <v>705</v>
      </c>
      <c r="L533" s="1"/>
    </row>
    <row r="534" spans="11:12">
      <c r="K534" s="1" t="s">
        <v>706</v>
      </c>
      <c r="L534" s="1"/>
    </row>
    <row r="535" spans="11:12" ht="29">
      <c r="K535" s="1" t="s">
        <v>707</v>
      </c>
      <c r="L535" s="1"/>
    </row>
    <row r="536" spans="11:12">
      <c r="K536" s="1" t="s">
        <v>708</v>
      </c>
      <c r="L536" s="1"/>
    </row>
    <row r="537" spans="11:12">
      <c r="K537" s="1" t="s">
        <v>709</v>
      </c>
      <c r="L537" s="1"/>
    </row>
    <row r="538" spans="11:12">
      <c r="K538" s="1" t="s">
        <v>710</v>
      </c>
      <c r="L538" s="1"/>
    </row>
    <row r="539" spans="11:12">
      <c r="K539" s="1" t="s">
        <v>711</v>
      </c>
      <c r="L539" s="1"/>
    </row>
    <row r="540" spans="11:12">
      <c r="K540" s="1" t="s">
        <v>712</v>
      </c>
      <c r="L540" s="1"/>
    </row>
    <row r="541" spans="11:12">
      <c r="K541" s="1" t="s">
        <v>713</v>
      </c>
      <c r="L541" s="1"/>
    </row>
    <row r="542" spans="11:12">
      <c r="K542" s="1" t="s">
        <v>714</v>
      </c>
      <c r="L542" s="1"/>
    </row>
    <row r="543" spans="11:12">
      <c r="K543" s="1" t="s">
        <v>715</v>
      </c>
      <c r="L543" s="1"/>
    </row>
    <row r="544" spans="11:12">
      <c r="K544" s="1" t="s">
        <v>716</v>
      </c>
      <c r="L544" s="1"/>
    </row>
    <row r="545" spans="11:12">
      <c r="K545" s="1" t="s">
        <v>717</v>
      </c>
      <c r="L545" s="1"/>
    </row>
    <row r="546" spans="11:12">
      <c r="K546" s="1" t="s">
        <v>718</v>
      </c>
      <c r="L546" s="1"/>
    </row>
    <row r="547" spans="11:12">
      <c r="K547" s="1" t="s">
        <v>719</v>
      </c>
      <c r="L547" s="1"/>
    </row>
    <row r="548" spans="11:12">
      <c r="K548" s="1" t="s">
        <v>720</v>
      </c>
      <c r="L548" s="1"/>
    </row>
    <row r="549" spans="11:12">
      <c r="K549" s="1" t="s">
        <v>721</v>
      </c>
      <c r="L549" s="1"/>
    </row>
    <row r="550" spans="11:12">
      <c r="K550" s="1" t="s">
        <v>722</v>
      </c>
      <c r="L550" s="1"/>
    </row>
    <row r="551" spans="11:12">
      <c r="K551" s="1" t="s">
        <v>723</v>
      </c>
      <c r="L551" s="1"/>
    </row>
    <row r="552" spans="11:12">
      <c r="K552" s="1" t="s">
        <v>724</v>
      </c>
      <c r="L552" s="1"/>
    </row>
    <row r="553" spans="11:12">
      <c r="K553" s="1" t="s">
        <v>725</v>
      </c>
      <c r="L553" s="1"/>
    </row>
    <row r="554" spans="11:12">
      <c r="K554" s="1" t="s">
        <v>726</v>
      </c>
      <c r="L554" s="1"/>
    </row>
    <row r="555" spans="11:12">
      <c r="K555" s="1" t="s">
        <v>727</v>
      </c>
      <c r="L555" s="1"/>
    </row>
    <row r="556" spans="11:12">
      <c r="K556" s="1" t="s">
        <v>728</v>
      </c>
      <c r="L556" s="1"/>
    </row>
    <row r="557" spans="11:12">
      <c r="K557" s="1" t="s">
        <v>729</v>
      </c>
      <c r="L557" s="1"/>
    </row>
    <row r="558" spans="11:12">
      <c r="K558" s="1" t="s">
        <v>730</v>
      </c>
      <c r="L558" s="1"/>
    </row>
    <row r="559" spans="11:12">
      <c r="K559" s="1" t="s">
        <v>731</v>
      </c>
      <c r="L559" s="1"/>
    </row>
    <row r="560" spans="11:12">
      <c r="K560" s="1" t="s">
        <v>732</v>
      </c>
      <c r="L560" s="1"/>
    </row>
    <row r="561" spans="11:12">
      <c r="K561" s="1" t="s">
        <v>733</v>
      </c>
      <c r="L561" s="1"/>
    </row>
    <row r="562" spans="11:12">
      <c r="K562" s="1" t="s">
        <v>734</v>
      </c>
      <c r="L562" s="1"/>
    </row>
    <row r="563" spans="11:12">
      <c r="K563" s="1" t="s">
        <v>735</v>
      </c>
      <c r="L563" s="1"/>
    </row>
    <row r="564" spans="11:12">
      <c r="K564" s="1" t="s">
        <v>736</v>
      </c>
      <c r="L564" s="1"/>
    </row>
    <row r="565" spans="11:12">
      <c r="K565" s="1" t="s">
        <v>737</v>
      </c>
      <c r="L565" s="1"/>
    </row>
    <row r="566" spans="11:12">
      <c r="K566" s="1" t="s">
        <v>738</v>
      </c>
      <c r="L566" s="1"/>
    </row>
    <row r="567" spans="11:12">
      <c r="K567" s="1" t="s">
        <v>739</v>
      </c>
      <c r="L567" s="1"/>
    </row>
    <row r="568" spans="11:12">
      <c r="K568" s="1" t="s">
        <v>740</v>
      </c>
      <c r="L568" s="1"/>
    </row>
    <row r="569" spans="11:12">
      <c r="K569" s="1" t="s">
        <v>741</v>
      </c>
      <c r="L569" s="1"/>
    </row>
    <row r="570" spans="11:12">
      <c r="K570" s="1" t="s">
        <v>742</v>
      </c>
      <c r="L570" s="1"/>
    </row>
    <row r="571" spans="11:12">
      <c r="K571" s="1" t="s">
        <v>743</v>
      </c>
      <c r="L571" s="1"/>
    </row>
    <row r="572" spans="11:12">
      <c r="K572" s="1" t="s">
        <v>744</v>
      </c>
      <c r="L572" s="1"/>
    </row>
    <row r="573" spans="11:12">
      <c r="K573" s="1" t="s">
        <v>745</v>
      </c>
      <c r="L573" s="1"/>
    </row>
    <row r="574" spans="11:12">
      <c r="K574" s="1" t="s">
        <v>746</v>
      </c>
      <c r="L574" s="1"/>
    </row>
    <row r="575" spans="11:12" ht="29">
      <c r="K575" s="1" t="s">
        <v>747</v>
      </c>
      <c r="L575" s="1"/>
    </row>
    <row r="576" spans="11:12">
      <c r="K576" s="1" t="s">
        <v>748</v>
      </c>
      <c r="L576" s="1"/>
    </row>
    <row r="577" spans="11:12">
      <c r="K577" s="1" t="s">
        <v>749</v>
      </c>
      <c r="L577" s="1"/>
    </row>
    <row r="578" spans="11:12" ht="29">
      <c r="K578" s="1" t="s">
        <v>750</v>
      </c>
      <c r="L578" s="1"/>
    </row>
    <row r="579" spans="11:12">
      <c r="K579" s="1" t="s">
        <v>751</v>
      </c>
      <c r="L579" s="1"/>
    </row>
    <row r="580" spans="11:12">
      <c r="K580" s="1" t="s">
        <v>752</v>
      </c>
      <c r="L580" s="1"/>
    </row>
    <row r="581" spans="11:12">
      <c r="K581" s="1" t="s">
        <v>753</v>
      </c>
      <c r="L581" s="1"/>
    </row>
    <row r="582" spans="11:12">
      <c r="K582" s="1" t="s">
        <v>754</v>
      </c>
      <c r="L582" s="1"/>
    </row>
    <row r="583" spans="11:12">
      <c r="K583" s="1" t="s">
        <v>755</v>
      </c>
      <c r="L583" s="1"/>
    </row>
    <row r="584" spans="11:12">
      <c r="K584" s="1" t="s">
        <v>756</v>
      </c>
      <c r="L584" s="1"/>
    </row>
    <row r="585" spans="11:12">
      <c r="K585" s="1" t="s">
        <v>757</v>
      </c>
      <c r="L585" s="1"/>
    </row>
    <row r="586" spans="11:12">
      <c r="K586" s="1" t="s">
        <v>758</v>
      </c>
      <c r="L586" s="1"/>
    </row>
    <row r="587" spans="11:12">
      <c r="K587" s="1" t="s">
        <v>759</v>
      </c>
      <c r="L587" s="1"/>
    </row>
    <row r="588" spans="11:12">
      <c r="K588" s="1" t="s">
        <v>760</v>
      </c>
      <c r="L588" s="1"/>
    </row>
    <row r="589" spans="11:12">
      <c r="K589" s="1" t="s">
        <v>761</v>
      </c>
      <c r="L589" s="1"/>
    </row>
    <row r="590" spans="11:12">
      <c r="K590" s="1" t="s">
        <v>762</v>
      </c>
      <c r="L590" s="1"/>
    </row>
    <row r="591" spans="11:12">
      <c r="K591" s="1" t="s">
        <v>763</v>
      </c>
      <c r="L591" s="1"/>
    </row>
    <row r="592" spans="11:12">
      <c r="K592" s="1" t="s">
        <v>69</v>
      </c>
      <c r="L592" s="1"/>
    </row>
    <row r="593" spans="11:12">
      <c r="K593" s="1" t="s">
        <v>764</v>
      </c>
      <c r="L593" s="1"/>
    </row>
    <row r="594" spans="11:12">
      <c r="K594" s="1" t="s">
        <v>765</v>
      </c>
      <c r="L594" s="1"/>
    </row>
    <row r="595" spans="11:12">
      <c r="K595" s="1" t="s">
        <v>766</v>
      </c>
      <c r="L595" s="1"/>
    </row>
    <row r="596" spans="11:12">
      <c r="K596" s="1" t="s">
        <v>767</v>
      </c>
      <c r="L596" s="1"/>
    </row>
    <row r="597" spans="11:12">
      <c r="K597" s="1" t="s">
        <v>768</v>
      </c>
      <c r="L597" s="1"/>
    </row>
    <row r="598" spans="11:12">
      <c r="K598" s="1" t="s">
        <v>769</v>
      </c>
      <c r="L598" s="1"/>
    </row>
    <row r="599" spans="11:12">
      <c r="K599" s="1" t="s">
        <v>770</v>
      </c>
      <c r="L599" s="1"/>
    </row>
    <row r="600" spans="11:12">
      <c r="K600" s="1" t="s">
        <v>771</v>
      </c>
      <c r="L600" s="1"/>
    </row>
    <row r="601" spans="11:12">
      <c r="K601" s="1" t="s">
        <v>772</v>
      </c>
      <c r="L601" s="1"/>
    </row>
    <row r="602" spans="11:12">
      <c r="K602" s="1" t="s">
        <v>773</v>
      </c>
      <c r="L602" s="1"/>
    </row>
    <row r="603" spans="11:12">
      <c r="K603" s="1" t="s">
        <v>774</v>
      </c>
      <c r="L603" s="1"/>
    </row>
    <row r="604" spans="11:12">
      <c r="K604" s="1" t="s">
        <v>775</v>
      </c>
      <c r="L604" s="1"/>
    </row>
    <row r="605" spans="11:12">
      <c r="K605" s="1" t="s">
        <v>776</v>
      </c>
      <c r="L605" s="1"/>
    </row>
    <row r="606" spans="11:12">
      <c r="K606" s="1" t="s">
        <v>777</v>
      </c>
      <c r="L606" s="1"/>
    </row>
    <row r="607" spans="11:12">
      <c r="K607" s="1" t="s">
        <v>778</v>
      </c>
      <c r="L607" s="1"/>
    </row>
    <row r="608" spans="11:12">
      <c r="K608" s="1" t="s">
        <v>779</v>
      </c>
      <c r="L608" s="1"/>
    </row>
    <row r="609" spans="11:12">
      <c r="K609" s="1" t="s">
        <v>780</v>
      </c>
      <c r="L609" s="1"/>
    </row>
    <row r="610" spans="11:12">
      <c r="K610" s="1" t="s">
        <v>781</v>
      </c>
      <c r="L610" s="1"/>
    </row>
    <row r="611" spans="11:12">
      <c r="K611" s="1" t="s">
        <v>782</v>
      </c>
      <c r="L611" s="1"/>
    </row>
    <row r="612" spans="11:12">
      <c r="K612" s="1" t="s">
        <v>783</v>
      </c>
      <c r="L612" s="1"/>
    </row>
    <row r="613" spans="11:12">
      <c r="K613" s="1" t="s">
        <v>784</v>
      </c>
      <c r="L613" s="1"/>
    </row>
    <row r="614" spans="11:12">
      <c r="K614" s="1" t="s">
        <v>785</v>
      </c>
      <c r="L614" s="1"/>
    </row>
    <row r="615" spans="11:12">
      <c r="K615" s="1" t="s">
        <v>786</v>
      </c>
      <c r="L615" s="1"/>
    </row>
    <row r="616" spans="11:12">
      <c r="K616" s="1" t="s">
        <v>787</v>
      </c>
      <c r="L616" s="1"/>
    </row>
    <row r="617" spans="11:12">
      <c r="K617" s="1" t="s">
        <v>788</v>
      </c>
      <c r="L617" s="1"/>
    </row>
    <row r="618" spans="11:12">
      <c r="K618" s="1" t="s">
        <v>789</v>
      </c>
      <c r="L618" s="1"/>
    </row>
    <row r="619" spans="11:12">
      <c r="K619" s="1" t="s">
        <v>790</v>
      </c>
      <c r="L619" s="1"/>
    </row>
    <row r="620" spans="11:12">
      <c r="K620" s="1" t="s">
        <v>791</v>
      </c>
      <c r="L620" s="1"/>
    </row>
    <row r="621" spans="11:12">
      <c r="K621" s="1" t="s">
        <v>792</v>
      </c>
      <c r="L621" s="1"/>
    </row>
    <row r="622" spans="11:12">
      <c r="K622" s="1" t="s">
        <v>793</v>
      </c>
      <c r="L622" s="1"/>
    </row>
    <row r="623" spans="11:12">
      <c r="K623" s="1" t="s">
        <v>794</v>
      </c>
      <c r="L623" s="1"/>
    </row>
    <row r="624" spans="11:12">
      <c r="K624" s="1" t="s">
        <v>795</v>
      </c>
      <c r="L624" s="1"/>
    </row>
    <row r="625" spans="11:12">
      <c r="K625" s="1" t="s">
        <v>796</v>
      </c>
      <c r="L625" s="1"/>
    </row>
    <row r="626" spans="11:12">
      <c r="K626" s="1" t="s">
        <v>797</v>
      </c>
      <c r="L626" s="1"/>
    </row>
    <row r="627" spans="11:12">
      <c r="K627" s="1" t="s">
        <v>798</v>
      </c>
      <c r="L627" s="1"/>
    </row>
    <row r="628" spans="11:12">
      <c r="K628" s="1" t="s">
        <v>799</v>
      </c>
      <c r="L628" s="1"/>
    </row>
    <row r="629" spans="11:12">
      <c r="K629" s="1" t="s">
        <v>800</v>
      </c>
      <c r="L629" s="1"/>
    </row>
    <row r="630" spans="11:12">
      <c r="K630" s="1" t="s">
        <v>801</v>
      </c>
      <c r="L630" s="1"/>
    </row>
    <row r="631" spans="11:12">
      <c r="K631" s="1" t="s">
        <v>802</v>
      </c>
      <c r="L631" s="1"/>
    </row>
    <row r="632" spans="11:12">
      <c r="K632" s="1" t="s">
        <v>803</v>
      </c>
      <c r="L632" s="1"/>
    </row>
    <row r="633" spans="11:12">
      <c r="K633" s="1" t="s">
        <v>804</v>
      </c>
      <c r="L633" s="1"/>
    </row>
    <row r="634" spans="11:12">
      <c r="K634" s="1" t="s">
        <v>805</v>
      </c>
      <c r="L634" s="1"/>
    </row>
    <row r="635" spans="11:12">
      <c r="K635" s="1" t="s">
        <v>806</v>
      </c>
      <c r="L635" s="1"/>
    </row>
    <row r="636" spans="11:12">
      <c r="K636" s="1" t="s">
        <v>807</v>
      </c>
      <c r="L636" s="1"/>
    </row>
    <row r="637" spans="11:12">
      <c r="K637" s="1" t="s">
        <v>808</v>
      </c>
      <c r="L637" s="1"/>
    </row>
    <row r="638" spans="11:12">
      <c r="K638" s="1" t="s">
        <v>809</v>
      </c>
      <c r="L638" s="1"/>
    </row>
    <row r="639" spans="11:12">
      <c r="K639" s="1" t="s">
        <v>810</v>
      </c>
      <c r="L639" s="1"/>
    </row>
    <row r="640" spans="11:12">
      <c r="K640" s="1" t="s">
        <v>811</v>
      </c>
      <c r="L640" s="1"/>
    </row>
    <row r="641" spans="11:12">
      <c r="K641" s="1" t="s">
        <v>812</v>
      </c>
      <c r="L641" s="1"/>
    </row>
    <row r="642" spans="11:12">
      <c r="K642" s="1" t="s">
        <v>813</v>
      </c>
      <c r="L642" s="1"/>
    </row>
    <row r="643" spans="11:12">
      <c r="K643" s="1" t="s">
        <v>814</v>
      </c>
      <c r="L643" s="1"/>
    </row>
    <row r="644" spans="11:12">
      <c r="K644" s="1" t="s">
        <v>815</v>
      </c>
      <c r="L644" s="1"/>
    </row>
    <row r="645" spans="11:12">
      <c r="K645" s="1" t="s">
        <v>58</v>
      </c>
      <c r="L645" s="1"/>
    </row>
    <row r="646" spans="11:12">
      <c r="K646" s="1" t="s">
        <v>816</v>
      </c>
      <c r="L646" s="1"/>
    </row>
    <row r="647" spans="11:12">
      <c r="K647" s="1" t="s">
        <v>67</v>
      </c>
      <c r="L647" s="1"/>
    </row>
    <row r="648" spans="11:12">
      <c r="K648" s="1" t="s">
        <v>817</v>
      </c>
      <c r="L648" s="1"/>
    </row>
    <row r="649" spans="11:12">
      <c r="K649" s="1" t="s">
        <v>818</v>
      </c>
      <c r="L649" s="1"/>
    </row>
    <row r="650" spans="11:12">
      <c r="K650" s="1" t="s">
        <v>819</v>
      </c>
      <c r="L650" s="1"/>
    </row>
    <row r="651" spans="11:12">
      <c r="K651" s="1" t="s">
        <v>820</v>
      </c>
      <c r="L651" s="1"/>
    </row>
    <row r="652" spans="11:12">
      <c r="K652" s="1" t="s">
        <v>821</v>
      </c>
      <c r="L652" s="1"/>
    </row>
    <row r="653" spans="11:12">
      <c r="K653" s="1" t="s">
        <v>68</v>
      </c>
      <c r="L653" s="1"/>
    </row>
    <row r="654" spans="11:12">
      <c r="K654" s="1" t="s">
        <v>822</v>
      </c>
      <c r="L654" s="1"/>
    </row>
    <row r="655" spans="11:12">
      <c r="K655" s="1" t="s">
        <v>61</v>
      </c>
      <c r="L655" s="1"/>
    </row>
    <row r="656" spans="11:12">
      <c r="K656" s="1" t="s">
        <v>823</v>
      </c>
      <c r="L656" s="1"/>
    </row>
    <row r="657" spans="11:12">
      <c r="K657" s="1" t="s">
        <v>824</v>
      </c>
      <c r="L657" s="1"/>
    </row>
    <row r="658" spans="11:12">
      <c r="K658" s="1" t="s">
        <v>825</v>
      </c>
      <c r="L658" s="1"/>
    </row>
    <row r="659" spans="11:12">
      <c r="K659" s="1" t="s">
        <v>826</v>
      </c>
      <c r="L659" s="1"/>
    </row>
    <row r="660" spans="11:12">
      <c r="K660" s="1" t="s">
        <v>827</v>
      </c>
      <c r="L660" s="1"/>
    </row>
    <row r="661" spans="11:12">
      <c r="K661" s="1" t="s">
        <v>828</v>
      </c>
      <c r="L661" s="1"/>
    </row>
    <row r="662" spans="11:12">
      <c r="K662" s="1" t="s">
        <v>829</v>
      </c>
      <c r="L662" s="1"/>
    </row>
    <row r="663" spans="11:12">
      <c r="K663" s="1" t="s">
        <v>830</v>
      </c>
      <c r="L663" s="1"/>
    </row>
    <row r="664" spans="11:12">
      <c r="K664" s="1" t="s">
        <v>831</v>
      </c>
      <c r="L664" s="1"/>
    </row>
    <row r="665" spans="11:12">
      <c r="K665" s="1" t="s">
        <v>832</v>
      </c>
      <c r="L665" s="1"/>
    </row>
    <row r="666" spans="11:12">
      <c r="K666" s="1" t="s">
        <v>833</v>
      </c>
      <c r="L666" s="1"/>
    </row>
    <row r="667" spans="11:12">
      <c r="K667" s="1" t="s">
        <v>834</v>
      </c>
      <c r="L667" s="1"/>
    </row>
    <row r="668" spans="11:12">
      <c r="K668" s="1" t="s">
        <v>835</v>
      </c>
      <c r="L668" s="1"/>
    </row>
    <row r="669" spans="11:12">
      <c r="K669" s="1" t="s">
        <v>836</v>
      </c>
      <c r="L669" s="1"/>
    </row>
    <row r="670" spans="11:12">
      <c r="K670" s="1" t="s">
        <v>837</v>
      </c>
      <c r="L670" s="1"/>
    </row>
    <row r="671" spans="11:12">
      <c r="K671" s="1" t="s">
        <v>838</v>
      </c>
      <c r="L671" s="1"/>
    </row>
    <row r="672" spans="11:12">
      <c r="K672" s="1" t="s">
        <v>839</v>
      </c>
      <c r="L672" s="1"/>
    </row>
    <row r="673" spans="11:12">
      <c r="K673" s="1" t="s">
        <v>840</v>
      </c>
      <c r="L673" s="1"/>
    </row>
    <row r="674" spans="11:12">
      <c r="K674" s="1" t="s">
        <v>841</v>
      </c>
      <c r="L674" s="1"/>
    </row>
    <row r="675" spans="11:12">
      <c r="K675" s="1" t="s">
        <v>842</v>
      </c>
      <c r="L675" s="1"/>
    </row>
    <row r="676" spans="11:12">
      <c r="K676" s="1" t="s">
        <v>843</v>
      </c>
      <c r="L676" s="1"/>
    </row>
    <row r="677" spans="11:12">
      <c r="K677" s="1" t="s">
        <v>844</v>
      </c>
      <c r="L677" s="1"/>
    </row>
    <row r="678" spans="11:12">
      <c r="K678" s="1" t="s">
        <v>845</v>
      </c>
      <c r="L678" s="1"/>
    </row>
    <row r="679" spans="11:12">
      <c r="K679" s="1" t="s">
        <v>846</v>
      </c>
      <c r="L679" s="1"/>
    </row>
    <row r="680" spans="11:12">
      <c r="K680" s="1" t="s">
        <v>847</v>
      </c>
      <c r="L680" s="1"/>
    </row>
    <row r="681" spans="11:12">
      <c r="K681" s="1" t="s">
        <v>848</v>
      </c>
      <c r="L681" s="1"/>
    </row>
    <row r="682" spans="11:12">
      <c r="K682" s="1" t="s">
        <v>849</v>
      </c>
      <c r="L682" s="1"/>
    </row>
    <row r="683" spans="11:12">
      <c r="K683" s="1" t="s">
        <v>850</v>
      </c>
      <c r="L683" s="1"/>
    </row>
    <row r="684" spans="11:12">
      <c r="K684" s="1" t="s">
        <v>851</v>
      </c>
      <c r="L684" s="1"/>
    </row>
    <row r="685" spans="11:12">
      <c r="K685" s="1" t="s">
        <v>852</v>
      </c>
      <c r="L685" s="1"/>
    </row>
    <row r="686" spans="11:12">
      <c r="K686" s="1" t="s">
        <v>853</v>
      </c>
      <c r="L686" s="1"/>
    </row>
    <row r="687" spans="11:12">
      <c r="K687" s="1" t="s">
        <v>854</v>
      </c>
      <c r="L687" s="1"/>
    </row>
    <row r="688" spans="11:12">
      <c r="K688" s="1" t="s">
        <v>855</v>
      </c>
      <c r="L688" s="1"/>
    </row>
    <row r="689" spans="11:12">
      <c r="K689" s="1" t="s">
        <v>856</v>
      </c>
      <c r="L689" s="1"/>
    </row>
    <row r="690" spans="11:12">
      <c r="K690" s="1" t="s">
        <v>857</v>
      </c>
      <c r="L690" s="1"/>
    </row>
    <row r="691" spans="11:12">
      <c r="K691" s="1" t="s">
        <v>858</v>
      </c>
      <c r="L691" s="1"/>
    </row>
    <row r="692" spans="11:12">
      <c r="K692" s="1" t="s">
        <v>859</v>
      </c>
      <c r="L692" s="1"/>
    </row>
    <row r="693" spans="11:12">
      <c r="K693" s="1" t="s">
        <v>860</v>
      </c>
      <c r="L693" s="1"/>
    </row>
    <row r="694" spans="11:12">
      <c r="K694" s="1" t="s">
        <v>861</v>
      </c>
      <c r="L694" s="1"/>
    </row>
    <row r="695" spans="11:12">
      <c r="K695" s="1" t="s">
        <v>862</v>
      </c>
      <c r="L695" s="1"/>
    </row>
    <row r="696" spans="11:12">
      <c r="K696" s="1" t="s">
        <v>863</v>
      </c>
      <c r="L696" s="1"/>
    </row>
    <row r="697" spans="11:12">
      <c r="K697" s="1" t="s">
        <v>864</v>
      </c>
      <c r="L697" s="1"/>
    </row>
    <row r="698" spans="11:12">
      <c r="K698" s="1" t="s">
        <v>865</v>
      </c>
      <c r="L698" s="1"/>
    </row>
    <row r="699" spans="11:12">
      <c r="K699" s="1" t="s">
        <v>866</v>
      </c>
      <c r="L699" s="1"/>
    </row>
    <row r="700" spans="11:12">
      <c r="K700" s="1" t="s">
        <v>867</v>
      </c>
      <c r="L700" s="1"/>
    </row>
    <row r="701" spans="11:12">
      <c r="K701" s="1" t="s">
        <v>868</v>
      </c>
      <c r="L701" s="1"/>
    </row>
    <row r="702" spans="11:12">
      <c r="K702" s="1" t="s">
        <v>869</v>
      </c>
      <c r="L702" s="1"/>
    </row>
    <row r="703" spans="11:12">
      <c r="K703" s="1" t="s">
        <v>870</v>
      </c>
      <c r="L703" s="1"/>
    </row>
    <row r="704" spans="11:12">
      <c r="K704" s="1" t="s">
        <v>871</v>
      </c>
      <c r="L704" s="1"/>
    </row>
    <row r="705" spans="11:12">
      <c r="K705" s="1" t="s">
        <v>872</v>
      </c>
      <c r="L705" s="1"/>
    </row>
    <row r="706" spans="11:12">
      <c r="K706" s="1" t="s">
        <v>873</v>
      </c>
      <c r="L706" s="1"/>
    </row>
    <row r="707" spans="11:12">
      <c r="K707" s="1" t="s">
        <v>874</v>
      </c>
      <c r="L707" s="1"/>
    </row>
    <row r="708" spans="11:12">
      <c r="K708" s="1" t="s">
        <v>875</v>
      </c>
      <c r="L708" s="1"/>
    </row>
    <row r="709" spans="11:12">
      <c r="K709" s="1" t="s">
        <v>876</v>
      </c>
      <c r="L709" s="1"/>
    </row>
    <row r="710" spans="11:12">
      <c r="K710" s="1" t="s">
        <v>877</v>
      </c>
      <c r="L710" s="1"/>
    </row>
    <row r="711" spans="11:12">
      <c r="K711" s="1" t="s">
        <v>878</v>
      </c>
      <c r="L711" s="1"/>
    </row>
    <row r="712" spans="11:12">
      <c r="K712" s="1" t="s">
        <v>879</v>
      </c>
      <c r="L712" s="1"/>
    </row>
    <row r="713" spans="11:12">
      <c r="K713" s="1" t="s">
        <v>880</v>
      </c>
      <c r="L713" s="1"/>
    </row>
    <row r="714" spans="11:12">
      <c r="K714" s="1" t="s">
        <v>881</v>
      </c>
      <c r="L714" s="1"/>
    </row>
    <row r="715" spans="11:12">
      <c r="K715" s="1" t="s">
        <v>882</v>
      </c>
      <c r="L715" s="1"/>
    </row>
    <row r="716" spans="11:12">
      <c r="K716" s="1" t="s">
        <v>883</v>
      </c>
      <c r="L716" s="1"/>
    </row>
    <row r="717" spans="11:12">
      <c r="K717" s="1" t="s">
        <v>65</v>
      </c>
      <c r="L717" s="1"/>
    </row>
    <row r="718" spans="11:12">
      <c r="K718" s="1" t="s">
        <v>884</v>
      </c>
      <c r="L718" s="1"/>
    </row>
    <row r="719" spans="11:12">
      <c r="K719" s="1" t="s">
        <v>885</v>
      </c>
      <c r="L719" s="1"/>
    </row>
    <row r="720" spans="11:12">
      <c r="K720" s="1" t="s">
        <v>886</v>
      </c>
      <c r="L720" s="1"/>
    </row>
    <row r="721" spans="11:12">
      <c r="K721" s="1" t="s">
        <v>887</v>
      </c>
      <c r="L721" s="1"/>
    </row>
    <row r="722" spans="11:12">
      <c r="K722" s="1" t="s">
        <v>888</v>
      </c>
      <c r="L722" s="1"/>
    </row>
    <row r="723" spans="11:12">
      <c r="K723" s="1" t="s">
        <v>889</v>
      </c>
      <c r="L723" s="1"/>
    </row>
    <row r="724" spans="11:12">
      <c r="K724" s="1" t="s">
        <v>890</v>
      </c>
      <c r="L724" s="1"/>
    </row>
    <row r="725" spans="11:12">
      <c r="K725" s="1" t="s">
        <v>891</v>
      </c>
      <c r="L725" s="1"/>
    </row>
    <row r="726" spans="11:12">
      <c r="K726" s="1" t="s">
        <v>892</v>
      </c>
      <c r="L726" s="1"/>
    </row>
    <row r="727" spans="11:12">
      <c r="K727" s="1" t="s">
        <v>893</v>
      </c>
      <c r="L727" s="1"/>
    </row>
    <row r="728" spans="11:12">
      <c r="K728" s="1" t="s">
        <v>894</v>
      </c>
      <c r="L728" s="1"/>
    </row>
    <row r="729" spans="11:12">
      <c r="K729" s="1" t="s">
        <v>895</v>
      </c>
      <c r="L729" s="1"/>
    </row>
    <row r="730" spans="11:12">
      <c r="K730" s="1" t="s">
        <v>896</v>
      </c>
      <c r="L730" s="1"/>
    </row>
    <row r="731" spans="11:12">
      <c r="K731" s="1" t="s">
        <v>897</v>
      </c>
      <c r="L731" s="1"/>
    </row>
    <row r="732" spans="11:12">
      <c r="K732" s="1" t="s">
        <v>898</v>
      </c>
      <c r="L732" s="1"/>
    </row>
    <row r="733" spans="11:12">
      <c r="K733" s="1" t="s">
        <v>899</v>
      </c>
      <c r="L733" s="1"/>
    </row>
    <row r="734" spans="11:12">
      <c r="K734" s="1" t="s">
        <v>900</v>
      </c>
      <c r="L734" s="1"/>
    </row>
    <row r="735" spans="11:12">
      <c r="K735" s="1" t="s">
        <v>901</v>
      </c>
      <c r="L735" s="1"/>
    </row>
    <row r="736" spans="11:12">
      <c r="K736" s="1" t="s">
        <v>902</v>
      </c>
      <c r="L736" s="1"/>
    </row>
    <row r="737" spans="11:12">
      <c r="K737" s="1" t="s">
        <v>903</v>
      </c>
      <c r="L737" s="1"/>
    </row>
    <row r="738" spans="11:12">
      <c r="K738" s="1" t="s">
        <v>904</v>
      </c>
      <c r="L738" s="1"/>
    </row>
    <row r="739" spans="11:12">
      <c r="K739" s="1" t="s">
        <v>905</v>
      </c>
      <c r="L739" s="1"/>
    </row>
    <row r="740" spans="11:12">
      <c r="K740" s="1" t="s">
        <v>906</v>
      </c>
      <c r="L740" s="1"/>
    </row>
    <row r="741" spans="11:12">
      <c r="K741" s="1" t="s">
        <v>907</v>
      </c>
      <c r="L741" s="1"/>
    </row>
    <row r="742" spans="11:12">
      <c r="K742" s="1" t="s">
        <v>908</v>
      </c>
      <c r="L742" s="1"/>
    </row>
    <row r="743" spans="11:12">
      <c r="K743" s="1" t="s">
        <v>909</v>
      </c>
      <c r="L743" s="1"/>
    </row>
    <row r="744" spans="11:12">
      <c r="K744" s="1" t="s">
        <v>910</v>
      </c>
      <c r="L744" s="1"/>
    </row>
    <row r="745" spans="11:12">
      <c r="K745" s="1" t="s">
        <v>911</v>
      </c>
      <c r="L745" s="1"/>
    </row>
    <row r="746" spans="11:12">
      <c r="K746" s="1" t="s">
        <v>912</v>
      </c>
      <c r="L746" s="1"/>
    </row>
    <row r="747" spans="11:12">
      <c r="K747" s="1" t="s">
        <v>913</v>
      </c>
      <c r="L747" s="1"/>
    </row>
    <row r="748" spans="11:12">
      <c r="K748" s="1" t="s">
        <v>914</v>
      </c>
      <c r="L748" s="1"/>
    </row>
    <row r="749" spans="11:12">
      <c r="K749" s="1" t="s">
        <v>915</v>
      </c>
      <c r="L749" s="1"/>
    </row>
    <row r="750" spans="11:12">
      <c r="K750" s="1" t="s">
        <v>916</v>
      </c>
      <c r="L750" s="1"/>
    </row>
    <row r="751" spans="11:12">
      <c r="K751" s="1" t="s">
        <v>917</v>
      </c>
      <c r="L751" s="1"/>
    </row>
    <row r="752" spans="11:12">
      <c r="K752" s="1" t="s">
        <v>918</v>
      </c>
      <c r="L752" s="1"/>
    </row>
    <row r="753" spans="11:12">
      <c r="K753" s="1" t="s">
        <v>919</v>
      </c>
      <c r="L753" s="1"/>
    </row>
    <row r="754" spans="11:12">
      <c r="K754" s="1" t="s">
        <v>920</v>
      </c>
      <c r="L754" s="1"/>
    </row>
  </sheetData>
  <mergeCells count="3">
    <mergeCell ref="B2:I3"/>
    <mergeCell ref="B5:I20"/>
    <mergeCell ref="B23:I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18A34-5DB1-48E8-BE1E-B8CFD9E8DD86}">
  <dimension ref="A2:M47"/>
  <sheetViews>
    <sheetView topLeftCell="A34" workbookViewId="0">
      <selection activeCell="A41" sqref="A41:J47"/>
    </sheetView>
  </sheetViews>
  <sheetFormatPr defaultRowHeight="14.5"/>
  <cols>
    <col min="11" max="11" width="12.81640625" customWidth="1"/>
    <col min="12" max="12" width="12.36328125" customWidth="1"/>
    <col min="13" max="13" width="12.7265625" customWidth="1"/>
  </cols>
  <sheetData>
    <row r="2" spans="2:13">
      <c r="B2" s="36" t="s">
        <v>923</v>
      </c>
      <c r="C2" s="36"/>
      <c r="D2" s="36"/>
      <c r="E2" s="36"/>
      <c r="F2" s="36"/>
      <c r="G2" s="36"/>
      <c r="H2" s="36"/>
      <c r="I2" s="36"/>
      <c r="K2" s="28" t="s">
        <v>48</v>
      </c>
      <c r="L2" s="28" t="s">
        <v>925</v>
      </c>
      <c r="M2" s="28" t="s">
        <v>926</v>
      </c>
    </row>
    <row r="3" spans="2:13">
      <c r="B3" s="36"/>
      <c r="C3" s="36"/>
      <c r="D3" s="36"/>
      <c r="E3" s="36"/>
      <c r="F3" s="36"/>
      <c r="G3" s="36"/>
      <c r="H3" s="36"/>
      <c r="I3" s="36"/>
      <c r="K3" s="1">
        <v>1896</v>
      </c>
      <c r="L3" s="1">
        <v>29.055599999999998</v>
      </c>
      <c r="M3" s="1">
        <v>11.541700000000001</v>
      </c>
    </row>
    <row r="4" spans="2:13">
      <c r="K4" s="1">
        <v>1900</v>
      </c>
      <c r="L4" s="1">
        <v>14.040900000000001</v>
      </c>
      <c r="M4" s="1">
        <v>4.3947000000000003</v>
      </c>
    </row>
    <row r="5" spans="2:13">
      <c r="B5" s="43" t="s">
        <v>924</v>
      </c>
      <c r="C5" s="38"/>
      <c r="D5" s="38"/>
      <c r="E5" s="38"/>
      <c r="F5" s="38"/>
      <c r="G5" s="38"/>
      <c r="H5" s="38"/>
      <c r="I5" s="38"/>
      <c r="K5" s="1">
        <v>1904</v>
      </c>
      <c r="L5" s="1">
        <v>29.058499999999999</v>
      </c>
      <c r="M5" s="1">
        <v>9.3609000000000009</v>
      </c>
    </row>
    <row r="6" spans="2:13">
      <c r="B6" s="38"/>
      <c r="C6" s="38"/>
      <c r="D6" s="38"/>
      <c r="E6" s="38"/>
      <c r="F6" s="38"/>
      <c r="G6" s="38"/>
      <c r="H6" s="38"/>
      <c r="I6" s="38"/>
      <c r="K6" s="1">
        <v>1906</v>
      </c>
      <c r="L6" s="1">
        <v>39.887500000000003</v>
      </c>
      <c r="M6" s="1">
        <v>14.736599999999999</v>
      </c>
    </row>
    <row r="7" spans="2:13">
      <c r="B7" s="38"/>
      <c r="C7" s="38"/>
      <c r="D7" s="38"/>
      <c r="E7" s="38"/>
      <c r="F7" s="38"/>
      <c r="G7" s="38"/>
      <c r="H7" s="38"/>
      <c r="I7" s="38"/>
      <c r="K7" s="1">
        <v>1908</v>
      </c>
      <c r="L7" s="1">
        <v>26.4526</v>
      </c>
      <c r="M7" s="1">
        <v>12.8149</v>
      </c>
    </row>
    <row r="8" spans="2:13">
      <c r="B8" s="38"/>
      <c r="C8" s="38"/>
      <c r="D8" s="38"/>
      <c r="E8" s="38"/>
      <c r="F8" s="38"/>
      <c r="G8" s="38"/>
      <c r="H8" s="38"/>
      <c r="I8" s="38"/>
      <c r="K8" s="1">
        <v>1912</v>
      </c>
      <c r="L8" s="1">
        <v>27.494399999999999</v>
      </c>
      <c r="M8" s="1">
        <v>10.541600000000001</v>
      </c>
    </row>
    <row r="9" spans="2:13">
      <c r="B9" s="38"/>
      <c r="C9" s="38"/>
      <c r="D9" s="38"/>
      <c r="E9" s="38"/>
      <c r="F9" s="38"/>
      <c r="G9" s="38"/>
      <c r="H9" s="38"/>
      <c r="I9" s="38"/>
      <c r="K9" s="1">
        <v>1920</v>
      </c>
      <c r="L9" s="1">
        <v>35.496499999999997</v>
      </c>
      <c r="M9" s="1">
        <v>10.7258</v>
      </c>
    </row>
    <row r="10" spans="2:13">
      <c r="B10" s="38"/>
      <c r="C10" s="38"/>
      <c r="D10" s="38"/>
      <c r="E10" s="38"/>
      <c r="F10" s="38"/>
      <c r="G10" s="38"/>
      <c r="H10" s="38"/>
      <c r="I10" s="38"/>
      <c r="K10" s="1">
        <v>1924</v>
      </c>
      <c r="L10" s="1">
        <v>38.219799999999999</v>
      </c>
      <c r="M10" s="1">
        <v>11.950200000000001</v>
      </c>
    </row>
    <row r="11" spans="2:13">
      <c r="B11" s="38"/>
      <c r="C11" s="38"/>
      <c r="D11" s="38"/>
      <c r="E11" s="38"/>
      <c r="F11" s="38"/>
      <c r="G11" s="38"/>
      <c r="H11" s="38"/>
      <c r="I11" s="38"/>
      <c r="K11" s="1">
        <v>1928</v>
      </c>
      <c r="L11" s="1">
        <v>38.850999999999999</v>
      </c>
      <c r="M11" s="1">
        <v>12.4053</v>
      </c>
    </row>
    <row r="12" spans="2:13">
      <c r="B12" s="38"/>
      <c r="C12" s="38"/>
      <c r="D12" s="38"/>
      <c r="E12" s="38"/>
      <c r="F12" s="38"/>
      <c r="G12" s="38"/>
      <c r="H12" s="38"/>
      <c r="I12" s="38"/>
      <c r="K12" s="1">
        <v>1932</v>
      </c>
      <c r="L12" s="1">
        <v>68.747100000000003</v>
      </c>
      <c r="M12" s="1">
        <v>13.4039</v>
      </c>
    </row>
    <row r="13" spans="2:13">
      <c r="B13" s="38"/>
      <c r="C13" s="38"/>
      <c r="D13" s="38"/>
      <c r="E13" s="38"/>
      <c r="F13" s="38"/>
      <c r="G13" s="38"/>
      <c r="H13" s="38"/>
      <c r="I13" s="38"/>
      <c r="K13" s="1">
        <v>1936</v>
      </c>
      <c r="L13" s="1">
        <v>30.439399999999999</v>
      </c>
      <c r="M13" s="1">
        <v>10.904500000000001</v>
      </c>
    </row>
    <row r="14" spans="2:13">
      <c r="B14" s="38"/>
      <c r="C14" s="38"/>
      <c r="D14" s="38"/>
      <c r="E14" s="38"/>
      <c r="F14" s="38"/>
      <c r="G14" s="38"/>
      <c r="H14" s="38"/>
      <c r="I14" s="38"/>
      <c r="K14" s="1">
        <v>1948</v>
      </c>
      <c r="L14" s="1">
        <v>33.546199999999999</v>
      </c>
      <c r="M14" s="1">
        <v>13.773</v>
      </c>
    </row>
    <row r="15" spans="2:13">
      <c r="B15" s="38"/>
      <c r="C15" s="38"/>
      <c r="D15" s="38"/>
      <c r="E15" s="38"/>
      <c r="F15" s="38"/>
      <c r="G15" s="38"/>
      <c r="H15" s="38"/>
      <c r="I15" s="38"/>
      <c r="K15" s="1">
        <v>1952</v>
      </c>
      <c r="L15" s="1">
        <v>43.98</v>
      </c>
      <c r="M15" s="1">
        <v>18.3368</v>
      </c>
    </row>
    <row r="16" spans="2:13">
      <c r="B16" s="38"/>
      <c r="C16" s="38"/>
      <c r="D16" s="38"/>
      <c r="E16" s="38"/>
      <c r="F16" s="38"/>
      <c r="G16" s="38"/>
      <c r="H16" s="38"/>
      <c r="I16" s="38"/>
      <c r="K16" s="1">
        <v>1956</v>
      </c>
      <c r="L16" s="1">
        <v>79.492999999999995</v>
      </c>
      <c r="M16" s="1">
        <v>32.997</v>
      </c>
    </row>
    <row r="17" spans="2:13">
      <c r="B17" s="38"/>
      <c r="C17" s="38"/>
      <c r="D17" s="38"/>
      <c r="E17" s="38"/>
      <c r="F17" s="38"/>
      <c r="G17" s="38"/>
      <c r="H17" s="38"/>
      <c r="I17" s="38"/>
      <c r="K17" s="1">
        <v>1960</v>
      </c>
      <c r="L17" s="1">
        <v>160.31989999999999</v>
      </c>
      <c r="M17" s="1">
        <v>64.878799999999998</v>
      </c>
    </row>
    <row r="18" spans="2:13">
      <c r="B18" s="38"/>
      <c r="C18" s="38"/>
      <c r="D18" s="38"/>
      <c r="E18" s="38"/>
      <c r="F18" s="38"/>
      <c r="G18" s="38"/>
      <c r="H18" s="38"/>
      <c r="I18" s="38"/>
      <c r="K18" s="1">
        <v>1964</v>
      </c>
      <c r="L18" s="1">
        <v>162.8673</v>
      </c>
      <c r="M18" s="1">
        <v>66.579099999999997</v>
      </c>
    </row>
    <row r="19" spans="2:13">
      <c r="K19" s="1">
        <v>1968</v>
      </c>
      <c r="L19" s="1">
        <v>172.7311</v>
      </c>
      <c r="M19" s="1">
        <v>70.698700000000002</v>
      </c>
    </row>
    <row r="20" spans="2:13">
      <c r="K20" s="1">
        <v>1972</v>
      </c>
      <c r="L20" s="1">
        <v>172.559</v>
      </c>
      <c r="M20" s="1">
        <v>70.394400000000005</v>
      </c>
    </row>
    <row r="21" spans="2:13">
      <c r="K21" s="1">
        <v>1976</v>
      </c>
      <c r="L21" s="1">
        <v>164.71080000000001</v>
      </c>
      <c r="M21" s="1">
        <v>67.599599999999995</v>
      </c>
    </row>
    <row r="22" spans="2:13">
      <c r="K22" s="1">
        <v>1980</v>
      </c>
      <c r="L22" s="1">
        <v>167.3629</v>
      </c>
      <c r="M22" s="1">
        <v>68.998999999999995</v>
      </c>
    </row>
    <row r="23" spans="2:13">
      <c r="K23" s="1">
        <v>1984</v>
      </c>
      <c r="L23" s="1">
        <v>168.87719999999999</v>
      </c>
      <c r="M23" s="1">
        <v>68.885599999999997</v>
      </c>
    </row>
    <row r="24" spans="2:13">
      <c r="K24" s="1">
        <v>1988</v>
      </c>
      <c r="L24" s="1">
        <v>167.17850000000001</v>
      </c>
      <c r="M24" s="1">
        <v>68.684399999999997</v>
      </c>
    </row>
    <row r="25" spans="2:13">
      <c r="K25" s="1">
        <v>1992</v>
      </c>
      <c r="L25" s="1">
        <v>143.3956</v>
      </c>
      <c r="M25" s="1">
        <v>59.316800000000001</v>
      </c>
    </row>
    <row r="26" spans="2:13">
      <c r="K26" s="1">
        <v>1994</v>
      </c>
      <c r="L26" s="1">
        <v>165.24119999999999</v>
      </c>
      <c r="M26" s="1">
        <v>68.525099999999995</v>
      </c>
    </row>
    <row r="27" spans="2:13">
      <c r="K27" s="1">
        <v>1996</v>
      </c>
      <c r="L27" s="1">
        <v>153.45339999999999</v>
      </c>
      <c r="M27" s="1">
        <v>63.450800000000001</v>
      </c>
    </row>
    <row r="28" spans="2:13">
      <c r="K28" s="1">
        <v>1998</v>
      </c>
      <c r="L28" s="1">
        <v>171.1789</v>
      </c>
      <c r="M28" s="1">
        <v>70.993099999999998</v>
      </c>
    </row>
    <row r="29" spans="2:13">
      <c r="K29" s="1">
        <v>2000</v>
      </c>
      <c r="L29" s="1">
        <v>175.2902</v>
      </c>
      <c r="M29" s="1">
        <v>71.796099999999996</v>
      </c>
    </row>
    <row r="30" spans="2:13">
      <c r="K30" s="1">
        <v>2002</v>
      </c>
      <c r="L30" s="1">
        <v>173.91650000000001</v>
      </c>
      <c r="M30" s="1">
        <v>72.124799999999993</v>
      </c>
    </row>
    <row r="31" spans="2:13">
      <c r="K31" s="1">
        <v>2004</v>
      </c>
      <c r="L31" s="1">
        <v>176.4966</v>
      </c>
      <c r="M31" s="1">
        <v>72.481700000000004</v>
      </c>
    </row>
    <row r="32" spans="2:13">
      <c r="K32" s="1">
        <v>2006</v>
      </c>
      <c r="L32" s="1">
        <v>174.74770000000001</v>
      </c>
      <c r="M32" s="1">
        <v>71.922600000000003</v>
      </c>
    </row>
    <row r="33" spans="1:13">
      <c r="K33" s="1">
        <v>2008</v>
      </c>
      <c r="L33" s="1">
        <v>174.83949999999999</v>
      </c>
      <c r="M33" s="1">
        <v>71.653400000000005</v>
      </c>
    </row>
    <row r="34" spans="1:13">
      <c r="K34" s="1">
        <v>2010</v>
      </c>
      <c r="L34" s="1">
        <v>175.26740000000001</v>
      </c>
      <c r="M34" s="1">
        <v>72.003200000000007</v>
      </c>
    </row>
    <row r="35" spans="1:13">
      <c r="K35" s="1">
        <v>2012</v>
      </c>
      <c r="L35" s="1">
        <v>174.43209999999999</v>
      </c>
      <c r="M35" s="1">
        <v>70.356700000000004</v>
      </c>
    </row>
    <row r="36" spans="1:13">
      <c r="K36" s="1">
        <v>2014</v>
      </c>
      <c r="L36" s="1">
        <v>174.42250000000001</v>
      </c>
      <c r="M36" s="1">
        <v>68.695599999999999</v>
      </c>
    </row>
    <row r="37" spans="1:13">
      <c r="K37" s="1">
        <v>2016</v>
      </c>
      <c r="L37" s="1">
        <v>174.06819999999999</v>
      </c>
      <c r="M37" s="1">
        <v>70.617900000000006</v>
      </c>
    </row>
    <row r="41" spans="1:13">
      <c r="A41" s="49" t="s">
        <v>927</v>
      </c>
      <c r="B41" s="49"/>
      <c r="C41" s="49"/>
      <c r="D41" s="49"/>
      <c r="E41" s="49"/>
      <c r="F41" s="49"/>
      <c r="G41" s="49"/>
      <c r="H41" s="49"/>
      <c r="I41" s="49"/>
      <c r="J41" s="49"/>
    </row>
    <row r="42" spans="1:13">
      <c r="A42" s="49"/>
      <c r="B42" s="49"/>
      <c r="C42" s="49"/>
      <c r="D42" s="49"/>
      <c r="E42" s="49"/>
      <c r="F42" s="49"/>
      <c r="G42" s="49"/>
      <c r="H42" s="49"/>
      <c r="I42" s="49"/>
      <c r="J42" s="49"/>
    </row>
    <row r="43" spans="1:13">
      <c r="A43" s="49"/>
      <c r="B43" s="49"/>
      <c r="C43" s="49"/>
      <c r="D43" s="49"/>
      <c r="E43" s="49"/>
      <c r="F43" s="49"/>
      <c r="G43" s="49"/>
      <c r="H43" s="49"/>
      <c r="I43" s="49"/>
      <c r="J43" s="49"/>
    </row>
    <row r="44" spans="1:13">
      <c r="A44" s="49"/>
      <c r="B44" s="49"/>
      <c r="C44" s="49"/>
      <c r="D44" s="49"/>
      <c r="E44" s="49"/>
      <c r="F44" s="49"/>
      <c r="G44" s="49"/>
      <c r="H44" s="49"/>
      <c r="I44" s="49"/>
      <c r="J44" s="49"/>
    </row>
    <row r="45" spans="1:13">
      <c r="A45" s="49"/>
      <c r="B45" s="49"/>
      <c r="C45" s="49"/>
      <c r="D45" s="49"/>
      <c r="E45" s="49"/>
      <c r="F45" s="49"/>
      <c r="G45" s="49"/>
      <c r="H45" s="49"/>
      <c r="I45" s="49"/>
      <c r="J45" s="49"/>
    </row>
    <row r="46" spans="1:13">
      <c r="A46" s="49"/>
      <c r="B46" s="49"/>
      <c r="C46" s="49"/>
      <c r="D46" s="49"/>
      <c r="E46" s="49"/>
      <c r="F46" s="49"/>
      <c r="G46" s="49"/>
      <c r="H46" s="49"/>
      <c r="I46" s="49"/>
      <c r="J46" s="49"/>
    </row>
    <row r="47" spans="1:13">
      <c r="A47" s="49"/>
      <c r="B47" s="49"/>
      <c r="C47" s="49"/>
      <c r="D47" s="49"/>
      <c r="E47" s="49"/>
      <c r="F47" s="49"/>
      <c r="G47" s="49"/>
      <c r="H47" s="49"/>
      <c r="I47" s="49"/>
      <c r="J47" s="49"/>
    </row>
  </sheetData>
  <mergeCells count="3">
    <mergeCell ref="B2:I3"/>
    <mergeCell ref="B5:I18"/>
    <mergeCell ref="A41:J47"/>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1970-3067-4F86-B16D-5359BED2F0D6}">
  <dimension ref="B2:N22"/>
  <sheetViews>
    <sheetView workbookViewId="0">
      <selection activeCell="L20" sqref="L20"/>
    </sheetView>
  </sheetViews>
  <sheetFormatPr defaultRowHeight="14.5"/>
  <cols>
    <col min="11" max="11" width="13.81640625" customWidth="1"/>
    <col min="12" max="12" width="21.36328125" customWidth="1"/>
    <col min="13" max="13" width="13.453125" customWidth="1"/>
    <col min="14" max="14" width="14.26953125" customWidth="1"/>
  </cols>
  <sheetData>
    <row r="2" spans="2:14">
      <c r="B2" s="50" t="s">
        <v>928</v>
      </c>
      <c r="C2" s="50"/>
      <c r="D2" s="50"/>
      <c r="E2" s="50"/>
      <c r="F2" s="50"/>
      <c r="G2" s="50"/>
      <c r="H2" s="50"/>
      <c r="I2" s="50"/>
      <c r="K2" t="s">
        <v>158</v>
      </c>
      <c r="L2" t="s">
        <v>938</v>
      </c>
      <c r="M2" t="s">
        <v>159</v>
      </c>
      <c r="N2" t="s">
        <v>939</v>
      </c>
    </row>
    <row r="3" spans="2:14" ht="29">
      <c r="B3" s="50"/>
      <c r="C3" s="50"/>
      <c r="D3" s="50"/>
      <c r="E3" s="50"/>
      <c r="F3" s="50"/>
      <c r="G3" s="50"/>
      <c r="H3" s="50"/>
      <c r="I3" s="50"/>
      <c r="K3" s="1" t="s">
        <v>929</v>
      </c>
      <c r="L3" s="1" t="s">
        <v>59</v>
      </c>
      <c r="M3" s="1" t="s">
        <v>102</v>
      </c>
      <c r="N3" s="1">
        <v>386</v>
      </c>
    </row>
    <row r="4" spans="2:14" ht="29">
      <c r="K4" s="1" t="s">
        <v>930</v>
      </c>
      <c r="L4" s="1" t="s">
        <v>59</v>
      </c>
      <c r="M4" s="1" t="s">
        <v>102</v>
      </c>
      <c r="N4" s="1">
        <v>376</v>
      </c>
    </row>
    <row r="5" spans="2:14" ht="29">
      <c r="B5" s="51" t="s">
        <v>940</v>
      </c>
      <c r="C5" s="51"/>
      <c r="D5" s="51"/>
      <c r="E5" s="51"/>
      <c r="F5" s="51"/>
      <c r="G5" s="51"/>
      <c r="H5" s="51"/>
      <c r="I5" s="51"/>
      <c r="K5" s="1" t="s">
        <v>931</v>
      </c>
      <c r="L5" s="1" t="s">
        <v>59</v>
      </c>
      <c r="M5" s="1" t="s">
        <v>102</v>
      </c>
      <c r="N5" s="1">
        <v>368</v>
      </c>
    </row>
    <row r="6" spans="2:14" ht="29">
      <c r="B6" s="51"/>
      <c r="C6" s="51"/>
      <c r="D6" s="51"/>
      <c r="E6" s="51"/>
      <c r="F6" s="51"/>
      <c r="G6" s="51"/>
      <c r="H6" s="51"/>
      <c r="I6" s="51"/>
      <c r="K6" s="1" t="s">
        <v>932</v>
      </c>
      <c r="L6" s="1" t="s">
        <v>59</v>
      </c>
      <c r="M6" s="1" t="s">
        <v>102</v>
      </c>
      <c r="N6" s="1">
        <v>323</v>
      </c>
    </row>
    <row r="7" spans="2:14">
      <c r="B7" s="51"/>
      <c r="C7" s="51"/>
      <c r="D7" s="51"/>
      <c r="E7" s="51"/>
      <c r="F7" s="51"/>
      <c r="G7" s="51"/>
      <c r="H7" s="51"/>
      <c r="I7" s="51"/>
      <c r="K7" s="1" t="s">
        <v>933</v>
      </c>
      <c r="L7" s="1" t="s">
        <v>60</v>
      </c>
      <c r="M7" s="1" t="s">
        <v>109</v>
      </c>
      <c r="N7" s="1">
        <v>307</v>
      </c>
    </row>
    <row r="8" spans="2:14">
      <c r="B8" s="51"/>
      <c r="C8" s="51"/>
      <c r="D8" s="51"/>
      <c r="E8" s="51"/>
      <c r="F8" s="51"/>
      <c r="G8" s="51"/>
      <c r="H8" s="51"/>
      <c r="I8" s="51"/>
      <c r="K8" s="1" t="s">
        <v>934</v>
      </c>
      <c r="L8" s="1" t="s">
        <v>60</v>
      </c>
      <c r="M8" s="1" t="s">
        <v>109</v>
      </c>
      <c r="N8" s="1">
        <v>303</v>
      </c>
    </row>
    <row r="9" spans="2:14" ht="43.5">
      <c r="B9" s="51"/>
      <c r="C9" s="51"/>
      <c r="D9" s="51"/>
      <c r="E9" s="51"/>
      <c r="F9" s="51"/>
      <c r="G9" s="51"/>
      <c r="H9" s="51"/>
      <c r="I9" s="51"/>
      <c r="K9" s="1" t="s">
        <v>930</v>
      </c>
      <c r="L9" s="1" t="s">
        <v>543</v>
      </c>
      <c r="M9" s="1" t="s">
        <v>103</v>
      </c>
      <c r="N9" s="1">
        <v>296</v>
      </c>
    </row>
    <row r="10" spans="2:14" ht="29">
      <c r="B10" s="51"/>
      <c r="C10" s="51"/>
      <c r="D10" s="51"/>
      <c r="E10" s="51"/>
      <c r="F10" s="51"/>
      <c r="G10" s="51"/>
      <c r="H10" s="51"/>
      <c r="I10" s="51"/>
      <c r="K10" s="1" t="s">
        <v>935</v>
      </c>
      <c r="L10" s="1" t="s">
        <v>59</v>
      </c>
      <c r="M10" s="1" t="s">
        <v>102</v>
      </c>
      <c r="N10" s="1">
        <v>291</v>
      </c>
    </row>
    <row r="11" spans="2:14" ht="29">
      <c r="B11" s="51"/>
      <c r="C11" s="51"/>
      <c r="D11" s="51"/>
      <c r="E11" s="51"/>
      <c r="F11" s="51"/>
      <c r="G11" s="51"/>
      <c r="H11" s="51"/>
      <c r="I11" s="51"/>
      <c r="K11" s="1" t="s">
        <v>936</v>
      </c>
      <c r="L11" s="1" t="s">
        <v>59</v>
      </c>
      <c r="M11" s="1" t="s">
        <v>102</v>
      </c>
      <c r="N11" s="1">
        <v>279</v>
      </c>
    </row>
    <row r="12" spans="2:14">
      <c r="B12" s="51"/>
      <c r="C12" s="51"/>
      <c r="D12" s="51"/>
      <c r="E12" s="51"/>
      <c r="F12" s="51"/>
      <c r="G12" s="51"/>
      <c r="H12" s="51"/>
      <c r="I12" s="51"/>
      <c r="K12" s="1" t="s">
        <v>937</v>
      </c>
      <c r="L12" s="1" t="s">
        <v>60</v>
      </c>
      <c r="M12" s="1" t="s">
        <v>109</v>
      </c>
      <c r="N12" s="1">
        <v>274</v>
      </c>
    </row>
    <row r="14" spans="2:14">
      <c r="B14" s="52" t="s">
        <v>941</v>
      </c>
      <c r="C14" s="52"/>
      <c r="D14" s="52"/>
      <c r="E14" s="52"/>
      <c r="F14" s="52"/>
      <c r="G14" s="52"/>
      <c r="H14" s="52"/>
      <c r="I14" s="52"/>
    </row>
    <row r="15" spans="2:14">
      <c r="B15" s="52"/>
      <c r="C15" s="52"/>
      <c r="D15" s="52"/>
      <c r="E15" s="52"/>
      <c r="F15" s="52"/>
      <c r="G15" s="52"/>
      <c r="H15" s="52"/>
      <c r="I15" s="52"/>
    </row>
    <row r="16" spans="2:14">
      <c r="B16" s="52"/>
      <c r="C16" s="52"/>
      <c r="D16" s="52"/>
      <c r="E16" s="52"/>
      <c r="F16" s="52"/>
      <c r="G16" s="52"/>
      <c r="H16" s="52"/>
      <c r="I16" s="52"/>
    </row>
    <row r="17" spans="2:9">
      <c r="B17" s="52"/>
      <c r="C17" s="52"/>
      <c r="D17" s="52"/>
      <c r="E17" s="52"/>
      <c r="F17" s="52"/>
      <c r="G17" s="52"/>
      <c r="H17" s="52"/>
      <c r="I17" s="52"/>
    </row>
    <row r="18" spans="2:9">
      <c r="B18" s="52"/>
      <c r="C18" s="52"/>
      <c r="D18" s="52"/>
      <c r="E18" s="52"/>
      <c r="F18" s="52"/>
      <c r="G18" s="52"/>
      <c r="H18" s="52"/>
      <c r="I18" s="52"/>
    </row>
    <row r="19" spans="2:9">
      <c r="B19" s="52"/>
      <c r="C19" s="52"/>
      <c r="D19" s="52"/>
      <c r="E19" s="52"/>
      <c r="F19" s="52"/>
      <c r="G19" s="52"/>
      <c r="H19" s="52"/>
      <c r="I19" s="52"/>
    </row>
    <row r="20" spans="2:9">
      <c r="B20" s="52"/>
      <c r="C20" s="52"/>
      <c r="D20" s="52"/>
      <c r="E20" s="52"/>
      <c r="F20" s="52"/>
      <c r="G20" s="52"/>
      <c r="H20" s="52"/>
      <c r="I20" s="52"/>
    </row>
    <row r="21" spans="2:9">
      <c r="B21" s="52"/>
      <c r="C21" s="52"/>
      <c r="D21" s="52"/>
      <c r="E21" s="52"/>
      <c r="F21" s="52"/>
      <c r="G21" s="52"/>
      <c r="H21" s="52"/>
      <c r="I21" s="52"/>
    </row>
    <row r="22" spans="2:9">
      <c r="B22" s="52"/>
      <c r="C22" s="52"/>
      <c r="D22" s="52"/>
      <c r="E22" s="52"/>
      <c r="F22" s="52"/>
      <c r="G22" s="52"/>
      <c r="H22" s="52"/>
      <c r="I22" s="52"/>
    </row>
  </sheetData>
  <mergeCells count="3">
    <mergeCell ref="B2:I3"/>
    <mergeCell ref="B5:I12"/>
    <mergeCell ref="B14:I22"/>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287BE-6F33-4209-A121-0D353A254A8F}">
  <dimension ref="B2:O230"/>
  <sheetViews>
    <sheetView workbookViewId="0">
      <selection activeCell="B23" sqref="B23:I32"/>
    </sheetView>
  </sheetViews>
  <sheetFormatPr defaultRowHeight="14.5"/>
  <cols>
    <col min="11" max="11" width="13.81640625" customWidth="1"/>
    <col min="12" max="12" width="18.26953125" customWidth="1"/>
    <col min="13" max="13" width="14.36328125" customWidth="1"/>
    <col min="14" max="14" width="14.26953125" customWidth="1"/>
    <col min="15" max="15" width="12.36328125" customWidth="1"/>
    <col min="16" max="16" width="12.7265625" customWidth="1"/>
  </cols>
  <sheetData>
    <row r="2" spans="2:15">
      <c r="B2" s="29" t="s">
        <v>942</v>
      </c>
      <c r="C2" s="29"/>
      <c r="D2" s="29"/>
      <c r="E2" s="29"/>
      <c r="F2" s="29"/>
      <c r="G2" s="29"/>
      <c r="H2" s="29"/>
      <c r="I2" s="29"/>
      <c r="J2" t="s">
        <v>158</v>
      </c>
      <c r="K2" t="s">
        <v>1157</v>
      </c>
      <c r="L2" t="s">
        <v>1158</v>
      </c>
      <c r="M2" t="s">
        <v>939</v>
      </c>
      <c r="N2" t="s">
        <v>925</v>
      </c>
      <c r="O2" t="s">
        <v>926</v>
      </c>
    </row>
    <row r="3" spans="2:15">
      <c r="B3" s="29"/>
      <c r="C3" s="29"/>
      <c r="D3" s="29"/>
      <c r="E3" s="29"/>
      <c r="F3" s="29"/>
      <c r="G3" s="29"/>
      <c r="H3" s="29"/>
      <c r="I3" s="29"/>
      <c r="J3" s="1" t="s">
        <v>930</v>
      </c>
      <c r="K3" s="1">
        <v>12392</v>
      </c>
      <c r="L3" s="1">
        <v>58</v>
      </c>
      <c r="M3" s="1">
        <v>18127</v>
      </c>
      <c r="N3" s="1">
        <v>141.44319999999999</v>
      </c>
      <c r="O3" s="1">
        <v>55.9176</v>
      </c>
    </row>
    <row r="4" spans="2:15">
      <c r="J4" s="1" t="s">
        <v>934</v>
      </c>
      <c r="K4" s="1">
        <v>7999</v>
      </c>
      <c r="L4" s="1">
        <v>59</v>
      </c>
      <c r="M4" s="1">
        <v>11536</v>
      </c>
      <c r="N4" s="1">
        <v>121.20310000000001</v>
      </c>
      <c r="O4" s="1">
        <v>48.526899999999998</v>
      </c>
    </row>
    <row r="5" spans="2:15">
      <c r="B5" s="30" t="s">
        <v>1159</v>
      </c>
      <c r="C5" s="30"/>
      <c r="D5" s="30"/>
      <c r="E5" s="30"/>
      <c r="F5" s="30"/>
      <c r="G5" s="30"/>
      <c r="H5" s="30"/>
      <c r="I5" s="30"/>
      <c r="J5" s="1" t="s">
        <v>943</v>
      </c>
      <c r="K5" s="1">
        <v>7323</v>
      </c>
      <c r="L5" s="1">
        <v>57</v>
      </c>
      <c r="M5" s="1">
        <v>11475</v>
      </c>
      <c r="N5" s="1">
        <v>127.1771</v>
      </c>
      <c r="O5" s="1">
        <v>48.993299999999998</v>
      </c>
    </row>
    <row r="6" spans="2:15">
      <c r="B6" s="30"/>
      <c r="C6" s="30"/>
      <c r="D6" s="30"/>
      <c r="E6" s="30"/>
      <c r="F6" s="30"/>
      <c r="G6" s="30"/>
      <c r="H6" s="30"/>
      <c r="I6" s="30"/>
      <c r="J6" s="1" t="s">
        <v>944</v>
      </c>
      <c r="K6" s="1">
        <v>7119</v>
      </c>
      <c r="L6" s="1">
        <v>53</v>
      </c>
      <c r="M6" s="1">
        <v>10496</v>
      </c>
      <c r="N6" s="1">
        <v>139.59</v>
      </c>
      <c r="O6" s="1">
        <v>56.514200000000002</v>
      </c>
    </row>
    <row r="7" spans="2:15">
      <c r="B7" s="30"/>
      <c r="C7" s="30"/>
      <c r="D7" s="30"/>
      <c r="E7" s="30"/>
      <c r="F7" s="30"/>
      <c r="G7" s="30"/>
      <c r="H7" s="30"/>
      <c r="I7" s="30"/>
      <c r="J7" s="1" t="s">
        <v>945</v>
      </c>
      <c r="K7" s="1">
        <v>6958</v>
      </c>
      <c r="L7" s="1">
        <v>51</v>
      </c>
      <c r="M7" s="1">
        <v>10355</v>
      </c>
      <c r="N7" s="1">
        <v>136.56549999999999</v>
      </c>
      <c r="O7" s="1">
        <v>53.076900000000002</v>
      </c>
    </row>
    <row r="8" spans="2:15">
      <c r="B8" s="30"/>
      <c r="C8" s="30"/>
      <c r="D8" s="30"/>
      <c r="E8" s="30"/>
      <c r="F8" s="30"/>
      <c r="G8" s="30"/>
      <c r="H8" s="30"/>
      <c r="I8" s="30"/>
      <c r="J8" s="1" t="s">
        <v>931</v>
      </c>
      <c r="K8" s="1">
        <v>6332</v>
      </c>
      <c r="L8" s="1">
        <v>53</v>
      </c>
      <c r="M8" s="1">
        <v>9540</v>
      </c>
      <c r="N8" s="1">
        <v>149.2739</v>
      </c>
      <c r="O8" s="1">
        <v>59.396599999999999</v>
      </c>
    </row>
    <row r="9" spans="2:15">
      <c r="B9" s="30"/>
      <c r="C9" s="30"/>
      <c r="D9" s="30"/>
      <c r="E9" s="30"/>
      <c r="F9" s="30"/>
      <c r="G9" s="30"/>
      <c r="H9" s="30"/>
      <c r="I9" s="30"/>
      <c r="J9" s="1" t="s">
        <v>929</v>
      </c>
      <c r="K9" s="1">
        <v>5416</v>
      </c>
      <c r="L9" s="1">
        <v>47</v>
      </c>
      <c r="M9" s="1">
        <v>8335</v>
      </c>
      <c r="N9" s="1">
        <v>116.1969</v>
      </c>
      <c r="O9" s="1">
        <v>46.907299999999999</v>
      </c>
    </row>
    <row r="10" spans="2:15">
      <c r="B10" s="30"/>
      <c r="C10" s="30"/>
      <c r="D10" s="30"/>
      <c r="E10" s="30"/>
      <c r="F10" s="30"/>
      <c r="G10" s="30"/>
      <c r="H10" s="30"/>
      <c r="I10" s="30"/>
      <c r="J10" s="1" t="s">
        <v>946</v>
      </c>
      <c r="K10" s="1">
        <v>5355</v>
      </c>
      <c r="L10" s="1">
        <v>52</v>
      </c>
      <c r="M10" s="1">
        <v>8331</v>
      </c>
      <c r="N10" s="1">
        <v>152.56059999999999</v>
      </c>
      <c r="O10" s="1">
        <v>56.939300000000003</v>
      </c>
    </row>
    <row r="11" spans="2:15">
      <c r="B11" s="30"/>
      <c r="C11" s="30"/>
      <c r="D11" s="30"/>
      <c r="E11" s="30"/>
      <c r="F11" s="30"/>
      <c r="G11" s="30"/>
      <c r="H11" s="30"/>
      <c r="I11" s="30"/>
      <c r="J11" s="1" t="s">
        <v>947</v>
      </c>
      <c r="K11" s="1">
        <v>5452</v>
      </c>
      <c r="L11" s="1">
        <v>51</v>
      </c>
      <c r="M11" s="1">
        <v>7584</v>
      </c>
      <c r="N11" s="1">
        <v>158.09200000000001</v>
      </c>
      <c r="O11" s="1">
        <v>63.776600000000002</v>
      </c>
    </row>
    <row r="12" spans="2:15">
      <c r="B12" s="30"/>
      <c r="C12" s="30"/>
      <c r="D12" s="30"/>
      <c r="E12" s="30"/>
      <c r="F12" s="30"/>
      <c r="G12" s="30"/>
      <c r="H12" s="30"/>
      <c r="I12" s="30"/>
      <c r="J12" s="1" t="s">
        <v>948</v>
      </c>
      <c r="K12" s="1">
        <v>4045</v>
      </c>
      <c r="L12" s="1">
        <v>43</v>
      </c>
      <c r="M12" s="1">
        <v>6514</v>
      </c>
      <c r="N12" s="1">
        <v>128.94669999999999</v>
      </c>
      <c r="O12" s="1">
        <v>52.577399999999997</v>
      </c>
    </row>
    <row r="13" spans="2:15">
      <c r="B13" s="30"/>
      <c r="C13" s="30"/>
      <c r="D13" s="30"/>
      <c r="E13" s="30"/>
      <c r="F13" s="30"/>
      <c r="G13" s="30"/>
      <c r="H13" s="30"/>
      <c r="I13" s="30"/>
      <c r="J13" s="1" t="s">
        <v>949</v>
      </c>
      <c r="K13" s="1">
        <v>4241</v>
      </c>
      <c r="L13" s="1">
        <v>45</v>
      </c>
      <c r="M13" s="1">
        <v>6209</v>
      </c>
      <c r="N13" s="1">
        <v>162.81559999999999</v>
      </c>
      <c r="O13" s="1">
        <v>65.911299999999997</v>
      </c>
    </row>
    <row r="14" spans="2:15" ht="29">
      <c r="B14" s="30"/>
      <c r="C14" s="30"/>
      <c r="D14" s="30"/>
      <c r="E14" s="30"/>
      <c r="F14" s="30"/>
      <c r="G14" s="30"/>
      <c r="H14" s="30"/>
      <c r="I14" s="30"/>
      <c r="J14" s="1" t="s">
        <v>950</v>
      </c>
      <c r="K14" s="1">
        <v>4263</v>
      </c>
      <c r="L14" s="1">
        <v>37</v>
      </c>
      <c r="M14" s="1">
        <v>6171</v>
      </c>
      <c r="N14" s="1">
        <v>158.001</v>
      </c>
      <c r="O14" s="1">
        <v>64.416799999999995</v>
      </c>
    </row>
    <row r="15" spans="2:15" ht="29">
      <c r="B15" s="30"/>
      <c r="C15" s="30"/>
      <c r="D15" s="30"/>
      <c r="E15" s="30"/>
      <c r="F15" s="30"/>
      <c r="G15" s="30"/>
      <c r="H15" s="30"/>
      <c r="I15" s="30"/>
      <c r="J15" s="1" t="s">
        <v>937</v>
      </c>
      <c r="K15" s="1">
        <v>4035</v>
      </c>
      <c r="L15" s="1">
        <v>43</v>
      </c>
      <c r="M15" s="1">
        <v>5880</v>
      </c>
      <c r="N15" s="1">
        <v>117.2073</v>
      </c>
      <c r="O15" s="1">
        <v>47.633000000000003</v>
      </c>
    </row>
    <row r="16" spans="2:15" ht="29">
      <c r="B16" s="30"/>
      <c r="C16" s="30"/>
      <c r="D16" s="30"/>
      <c r="E16" s="30"/>
      <c r="F16" s="30"/>
      <c r="G16" s="30"/>
      <c r="H16" s="30"/>
      <c r="I16" s="30"/>
      <c r="J16" s="1" t="s">
        <v>936</v>
      </c>
      <c r="K16" s="1">
        <v>3603</v>
      </c>
      <c r="L16" s="1">
        <v>51</v>
      </c>
      <c r="M16" s="1">
        <v>5832</v>
      </c>
      <c r="N16" s="1">
        <v>126.59050000000001</v>
      </c>
      <c r="O16" s="1">
        <v>50.585900000000002</v>
      </c>
    </row>
    <row r="17" spans="2:15">
      <c r="B17" s="30"/>
      <c r="C17" s="30"/>
      <c r="D17" s="30"/>
      <c r="E17" s="30"/>
      <c r="F17" s="30"/>
      <c r="G17" s="30"/>
      <c r="H17" s="30"/>
      <c r="I17" s="30"/>
      <c r="J17" s="1" t="s">
        <v>951</v>
      </c>
      <c r="K17" s="1">
        <v>3828</v>
      </c>
      <c r="L17" s="1">
        <v>48</v>
      </c>
      <c r="M17" s="1">
        <v>5563</v>
      </c>
      <c r="N17" s="1">
        <v>168.499</v>
      </c>
      <c r="O17" s="1">
        <v>67.522400000000005</v>
      </c>
    </row>
    <row r="18" spans="2:15">
      <c r="B18" s="30"/>
      <c r="C18" s="30"/>
      <c r="D18" s="30"/>
      <c r="E18" s="30"/>
      <c r="F18" s="30"/>
      <c r="G18" s="30"/>
      <c r="H18" s="30"/>
      <c r="I18" s="30"/>
      <c r="J18" s="1" t="s">
        <v>932</v>
      </c>
      <c r="K18" s="1">
        <v>3418</v>
      </c>
      <c r="L18" s="1">
        <v>40</v>
      </c>
      <c r="M18" s="1">
        <v>5473</v>
      </c>
      <c r="N18" s="1">
        <v>142.69829999999999</v>
      </c>
      <c r="O18" s="1">
        <v>57.3309</v>
      </c>
    </row>
    <row r="19" spans="2:15">
      <c r="B19" s="30"/>
      <c r="C19" s="30"/>
      <c r="D19" s="30"/>
      <c r="E19" s="30"/>
      <c r="F19" s="30"/>
      <c r="G19" s="30"/>
      <c r="H19" s="30"/>
      <c r="I19" s="30"/>
      <c r="J19" s="1" t="s">
        <v>952</v>
      </c>
      <c r="K19" s="1">
        <v>3867</v>
      </c>
      <c r="L19" s="1">
        <v>47</v>
      </c>
      <c r="M19" s="1">
        <v>5312</v>
      </c>
      <c r="N19" s="1">
        <v>145.86799999999999</v>
      </c>
      <c r="O19" s="1">
        <v>57.710700000000003</v>
      </c>
    </row>
    <row r="20" spans="2:15">
      <c r="B20" s="30"/>
      <c r="C20" s="30"/>
      <c r="D20" s="30"/>
      <c r="E20" s="30"/>
      <c r="F20" s="30"/>
      <c r="G20" s="30"/>
      <c r="H20" s="30"/>
      <c r="I20" s="30"/>
      <c r="J20" s="1" t="s">
        <v>953</v>
      </c>
      <c r="K20" s="1">
        <v>3594</v>
      </c>
      <c r="L20" s="1">
        <v>47</v>
      </c>
      <c r="M20" s="1">
        <v>5133</v>
      </c>
      <c r="N20" s="1">
        <v>164.82060000000001</v>
      </c>
      <c r="O20" s="1">
        <v>63.451000000000001</v>
      </c>
    </row>
    <row r="21" spans="2:15">
      <c r="B21" s="30"/>
      <c r="C21" s="30"/>
      <c r="D21" s="30"/>
      <c r="E21" s="30"/>
      <c r="F21" s="30"/>
      <c r="G21" s="30"/>
      <c r="H21" s="30"/>
      <c r="I21" s="30"/>
      <c r="J21" s="1" t="s">
        <v>954</v>
      </c>
      <c r="K21" s="1">
        <v>3269</v>
      </c>
      <c r="L21" s="1">
        <v>46</v>
      </c>
      <c r="M21" s="1">
        <v>5016</v>
      </c>
      <c r="N21" s="1">
        <v>115.8682</v>
      </c>
      <c r="O21" s="1">
        <v>47.674799999999998</v>
      </c>
    </row>
    <row r="22" spans="2:15">
      <c r="J22" s="1" t="s">
        <v>955</v>
      </c>
      <c r="K22" s="1">
        <v>3180</v>
      </c>
      <c r="L22" s="1">
        <v>42</v>
      </c>
      <c r="M22" s="1">
        <v>4969</v>
      </c>
      <c r="N22" s="1">
        <v>119.863</v>
      </c>
      <c r="O22" s="1">
        <v>45.374899999999997</v>
      </c>
    </row>
    <row r="23" spans="2:15" ht="29">
      <c r="B23" s="31" t="s">
        <v>1160</v>
      </c>
      <c r="C23" s="31"/>
      <c r="D23" s="31"/>
      <c r="E23" s="31"/>
      <c r="F23" s="31"/>
      <c r="G23" s="31"/>
      <c r="H23" s="31"/>
      <c r="I23" s="31"/>
      <c r="J23" s="1" t="s">
        <v>935</v>
      </c>
      <c r="K23" s="1">
        <v>2743</v>
      </c>
      <c r="L23" s="1">
        <v>40</v>
      </c>
      <c r="M23" s="1">
        <v>4516</v>
      </c>
      <c r="N23" s="1">
        <v>118.51990000000001</v>
      </c>
      <c r="O23" s="1">
        <v>47.997599999999998</v>
      </c>
    </row>
    <row r="24" spans="2:15" ht="29">
      <c r="B24" s="31"/>
      <c r="C24" s="31"/>
      <c r="D24" s="31"/>
      <c r="E24" s="31"/>
      <c r="F24" s="31"/>
      <c r="G24" s="31"/>
      <c r="H24" s="31"/>
      <c r="I24" s="31"/>
      <c r="J24" s="1" t="s">
        <v>956</v>
      </c>
      <c r="K24" s="1">
        <v>3131</v>
      </c>
      <c r="L24" s="1">
        <v>45</v>
      </c>
      <c r="M24" s="1">
        <v>4418</v>
      </c>
      <c r="N24" s="1">
        <v>151.27070000000001</v>
      </c>
      <c r="O24" s="1">
        <v>58.680399999999999</v>
      </c>
    </row>
    <row r="25" spans="2:15">
      <c r="B25" s="31"/>
      <c r="C25" s="31"/>
      <c r="D25" s="31"/>
      <c r="E25" s="31"/>
      <c r="F25" s="31"/>
      <c r="G25" s="31"/>
      <c r="H25" s="31"/>
      <c r="I25" s="31"/>
      <c r="J25" s="1" t="s">
        <v>957</v>
      </c>
      <c r="K25" s="1">
        <v>2582</v>
      </c>
      <c r="L25" s="1">
        <v>40</v>
      </c>
      <c r="M25" s="1">
        <v>4358</v>
      </c>
      <c r="N25" s="1">
        <v>140.30449999999999</v>
      </c>
      <c r="O25" s="1">
        <v>55.266399999999997</v>
      </c>
    </row>
    <row r="26" spans="2:15" ht="29">
      <c r="B26" s="31"/>
      <c r="C26" s="31"/>
      <c r="D26" s="31"/>
      <c r="E26" s="31"/>
      <c r="F26" s="31"/>
      <c r="G26" s="31"/>
      <c r="H26" s="31"/>
      <c r="I26" s="31"/>
      <c r="J26" s="1" t="s">
        <v>958</v>
      </c>
      <c r="K26" s="1">
        <v>2566</v>
      </c>
      <c r="L26" s="1">
        <v>38</v>
      </c>
      <c r="M26" s="1">
        <v>3814</v>
      </c>
      <c r="N26" s="1">
        <v>175.9033</v>
      </c>
      <c r="O26" s="1">
        <v>71.809399999999997</v>
      </c>
    </row>
    <row r="27" spans="2:15">
      <c r="B27" s="31"/>
      <c r="C27" s="31"/>
      <c r="D27" s="31"/>
      <c r="E27" s="31"/>
      <c r="F27" s="31"/>
      <c r="G27" s="31"/>
      <c r="H27" s="31"/>
      <c r="I27" s="31"/>
      <c r="J27" s="1" t="s">
        <v>959</v>
      </c>
      <c r="K27" s="1">
        <v>2986</v>
      </c>
      <c r="L27" s="1">
        <v>42</v>
      </c>
      <c r="M27" s="1">
        <v>3797</v>
      </c>
      <c r="N27" s="1">
        <v>156.5625</v>
      </c>
      <c r="O27" s="1">
        <v>61.081600000000002</v>
      </c>
    </row>
    <row r="28" spans="2:15">
      <c r="B28" s="31"/>
      <c r="C28" s="31"/>
      <c r="D28" s="31"/>
      <c r="E28" s="31"/>
      <c r="F28" s="31"/>
      <c r="G28" s="31"/>
      <c r="H28" s="31"/>
      <c r="I28" s="31"/>
      <c r="J28" s="1" t="s">
        <v>960</v>
      </c>
      <c r="K28" s="1">
        <v>2542</v>
      </c>
      <c r="L28" s="1">
        <v>38</v>
      </c>
      <c r="M28" s="1">
        <v>3572</v>
      </c>
      <c r="N28" s="1">
        <v>91.121499999999997</v>
      </c>
      <c r="O28" s="1">
        <v>35.695399999999999</v>
      </c>
    </row>
    <row r="29" spans="2:15">
      <c r="B29" s="31"/>
      <c r="C29" s="31"/>
      <c r="D29" s="31"/>
      <c r="E29" s="31"/>
      <c r="F29" s="31"/>
      <c r="G29" s="31"/>
      <c r="H29" s="31"/>
      <c r="I29" s="31"/>
      <c r="J29" s="1" t="s">
        <v>961</v>
      </c>
      <c r="K29" s="1">
        <v>2067</v>
      </c>
      <c r="L29" s="1">
        <v>39</v>
      </c>
      <c r="M29" s="1">
        <v>3508</v>
      </c>
      <c r="N29" s="1">
        <v>150.3475</v>
      </c>
      <c r="O29" s="1">
        <v>59.752000000000002</v>
      </c>
    </row>
    <row r="30" spans="2:15">
      <c r="B30" s="31"/>
      <c r="C30" s="31"/>
      <c r="D30" s="31"/>
      <c r="E30" s="31"/>
      <c r="F30" s="31"/>
      <c r="G30" s="31"/>
      <c r="H30" s="31"/>
      <c r="I30" s="31"/>
      <c r="J30" s="1" t="s">
        <v>962</v>
      </c>
      <c r="K30" s="1">
        <v>2289</v>
      </c>
      <c r="L30" s="1">
        <v>42</v>
      </c>
      <c r="M30" s="1">
        <v>3256</v>
      </c>
      <c r="N30" s="1">
        <v>98.169200000000004</v>
      </c>
      <c r="O30" s="1">
        <v>38.648600000000002</v>
      </c>
    </row>
    <row r="31" spans="2:15" ht="29">
      <c r="B31" s="31"/>
      <c r="C31" s="31"/>
      <c r="D31" s="31"/>
      <c r="E31" s="31"/>
      <c r="F31" s="31"/>
      <c r="G31" s="31"/>
      <c r="H31" s="31"/>
      <c r="I31" s="31"/>
      <c r="J31" s="1" t="s">
        <v>963</v>
      </c>
      <c r="K31" s="1">
        <v>1979</v>
      </c>
      <c r="L31" s="1">
        <v>32</v>
      </c>
      <c r="M31" s="1">
        <v>3078</v>
      </c>
      <c r="N31" s="1">
        <v>174.02369999999999</v>
      </c>
      <c r="O31" s="1">
        <v>69.692300000000003</v>
      </c>
    </row>
    <row r="32" spans="2:15" ht="29">
      <c r="B32" s="31"/>
      <c r="C32" s="31"/>
      <c r="D32" s="31"/>
      <c r="E32" s="31"/>
      <c r="F32" s="31"/>
      <c r="G32" s="31"/>
      <c r="H32" s="31"/>
      <c r="I32" s="31"/>
      <c r="J32" s="1" t="s">
        <v>964</v>
      </c>
      <c r="K32" s="1">
        <v>2306</v>
      </c>
      <c r="L32" s="1">
        <v>41</v>
      </c>
      <c r="M32" s="1">
        <v>3073</v>
      </c>
      <c r="N32" s="1">
        <v>131.1455</v>
      </c>
      <c r="O32" s="1">
        <v>53.678800000000003</v>
      </c>
    </row>
    <row r="33" spans="10:15">
      <c r="J33" s="1" t="s">
        <v>965</v>
      </c>
      <c r="K33" s="1">
        <v>1775</v>
      </c>
      <c r="L33" s="1">
        <v>42</v>
      </c>
      <c r="M33" s="1">
        <v>2705</v>
      </c>
      <c r="N33" s="1">
        <v>166.28020000000001</v>
      </c>
      <c r="O33" s="1">
        <v>65.479100000000003</v>
      </c>
    </row>
    <row r="34" spans="10:15">
      <c r="J34" s="1" t="s">
        <v>966</v>
      </c>
      <c r="K34" s="1">
        <v>1880</v>
      </c>
      <c r="L34" s="1">
        <v>37</v>
      </c>
      <c r="M34" s="1">
        <v>2683</v>
      </c>
      <c r="N34" s="1">
        <v>152.8546</v>
      </c>
      <c r="O34" s="1">
        <v>56.928400000000003</v>
      </c>
    </row>
    <row r="35" spans="10:15" ht="29">
      <c r="J35" s="1" t="s">
        <v>967</v>
      </c>
      <c r="K35" s="1">
        <v>1726</v>
      </c>
      <c r="L35" s="1">
        <v>35</v>
      </c>
      <c r="M35" s="1">
        <v>2642</v>
      </c>
      <c r="N35" s="1">
        <v>124.2608</v>
      </c>
      <c r="O35" s="1">
        <v>52.134399999999999</v>
      </c>
    </row>
    <row r="36" spans="10:15">
      <c r="J36" s="1" t="s">
        <v>968</v>
      </c>
      <c r="K36" s="1">
        <v>1886</v>
      </c>
      <c r="L36" s="1">
        <v>29</v>
      </c>
      <c r="M36" s="1">
        <v>2491</v>
      </c>
      <c r="N36" s="1">
        <v>156.91970000000001</v>
      </c>
      <c r="O36" s="1">
        <v>66.148099999999999</v>
      </c>
    </row>
    <row r="37" spans="10:15" ht="29">
      <c r="J37" s="1" t="s">
        <v>969</v>
      </c>
      <c r="K37" s="1">
        <v>1851</v>
      </c>
      <c r="L37" s="1">
        <v>44</v>
      </c>
      <c r="M37" s="1">
        <v>2346</v>
      </c>
      <c r="N37" s="1">
        <v>157.28219999999999</v>
      </c>
      <c r="O37" s="1">
        <v>61.716999999999999</v>
      </c>
    </row>
    <row r="38" spans="10:15">
      <c r="J38" s="1" t="s">
        <v>970</v>
      </c>
      <c r="K38" s="1">
        <v>1704</v>
      </c>
      <c r="L38" s="1">
        <v>44</v>
      </c>
      <c r="M38" s="1">
        <v>2222</v>
      </c>
      <c r="N38" s="1">
        <v>150.40860000000001</v>
      </c>
      <c r="O38" s="1">
        <v>61.536900000000003</v>
      </c>
    </row>
    <row r="39" spans="10:15" ht="29">
      <c r="J39" s="1" t="s">
        <v>971</v>
      </c>
      <c r="K39" s="1">
        <v>1332</v>
      </c>
      <c r="L39" s="1">
        <v>42</v>
      </c>
      <c r="M39" s="1">
        <v>2076</v>
      </c>
      <c r="N39" s="1">
        <v>177.66810000000001</v>
      </c>
      <c r="O39" s="1">
        <v>73.026499999999999</v>
      </c>
    </row>
    <row r="40" spans="10:15">
      <c r="J40" s="1" t="s">
        <v>972</v>
      </c>
      <c r="K40" s="1">
        <v>1249</v>
      </c>
      <c r="L40" s="1">
        <v>35</v>
      </c>
      <c r="M40" s="1">
        <v>1939</v>
      </c>
      <c r="N40" s="1">
        <v>166.5797</v>
      </c>
      <c r="O40" s="1">
        <v>66.384200000000007</v>
      </c>
    </row>
    <row r="41" spans="10:15" ht="29">
      <c r="J41" s="1" t="s">
        <v>973</v>
      </c>
      <c r="K41" s="1">
        <v>1297</v>
      </c>
      <c r="L41" s="1">
        <v>39</v>
      </c>
      <c r="M41" s="1">
        <v>1927</v>
      </c>
      <c r="N41" s="1">
        <v>161.99529999999999</v>
      </c>
      <c r="O41" s="1">
        <v>67.006200000000007</v>
      </c>
    </row>
    <row r="42" spans="10:15" ht="29">
      <c r="J42" s="1" t="s">
        <v>974</v>
      </c>
      <c r="K42" s="1">
        <v>1162</v>
      </c>
      <c r="L42" s="1">
        <v>37</v>
      </c>
      <c r="M42" s="1">
        <v>1645</v>
      </c>
      <c r="N42" s="1">
        <v>118.2158</v>
      </c>
      <c r="O42" s="1">
        <v>48.089399999999998</v>
      </c>
    </row>
    <row r="43" spans="10:15" ht="29">
      <c r="J43" s="1" t="s">
        <v>975</v>
      </c>
      <c r="K43" s="1">
        <v>1018</v>
      </c>
      <c r="L43" s="1">
        <v>36</v>
      </c>
      <c r="M43" s="1">
        <v>1516</v>
      </c>
      <c r="N43" s="1">
        <v>166.29490000000001</v>
      </c>
      <c r="O43" s="1">
        <v>66.794200000000004</v>
      </c>
    </row>
    <row r="44" spans="10:15">
      <c r="J44" s="1" t="s">
        <v>976</v>
      </c>
      <c r="K44" s="1">
        <v>1073</v>
      </c>
      <c r="L44" s="1">
        <v>34</v>
      </c>
      <c r="M44" s="1">
        <v>1478</v>
      </c>
      <c r="N44" s="1">
        <v>131.78479999999999</v>
      </c>
      <c r="O44" s="1">
        <v>51.3369</v>
      </c>
    </row>
    <row r="45" spans="10:15">
      <c r="J45" s="1" t="s">
        <v>977</v>
      </c>
      <c r="K45" s="1">
        <v>1169</v>
      </c>
      <c r="L45" s="1">
        <v>30</v>
      </c>
      <c r="M45" s="1">
        <v>1445</v>
      </c>
      <c r="N45" s="1">
        <v>107.6208</v>
      </c>
      <c r="O45" s="1">
        <v>48.3446</v>
      </c>
    </row>
    <row r="46" spans="10:15">
      <c r="J46" s="1" t="s">
        <v>933</v>
      </c>
      <c r="K46" s="1">
        <v>1040</v>
      </c>
      <c r="L46" s="1">
        <v>26</v>
      </c>
      <c r="M46" s="1">
        <v>1263</v>
      </c>
      <c r="N46" s="1">
        <v>120.0055</v>
      </c>
      <c r="O46" s="1">
        <v>46.4846</v>
      </c>
    </row>
    <row r="47" spans="10:15">
      <c r="J47" s="1" t="s">
        <v>978</v>
      </c>
      <c r="K47" s="1">
        <v>956</v>
      </c>
      <c r="L47" s="1">
        <v>31</v>
      </c>
      <c r="M47" s="1">
        <v>1229</v>
      </c>
      <c r="N47" s="1">
        <v>151.50040000000001</v>
      </c>
      <c r="O47" s="1">
        <v>59.908099999999997</v>
      </c>
    </row>
    <row r="48" spans="10:15">
      <c r="J48" s="1" t="s">
        <v>979</v>
      </c>
      <c r="K48" s="1">
        <v>951</v>
      </c>
      <c r="L48" s="1">
        <v>27</v>
      </c>
      <c r="M48" s="1">
        <v>1210</v>
      </c>
      <c r="N48" s="1">
        <v>135.14959999999999</v>
      </c>
      <c r="O48" s="1">
        <v>55.212400000000002</v>
      </c>
    </row>
    <row r="49" spans="10:15">
      <c r="J49" s="1" t="s">
        <v>980</v>
      </c>
      <c r="K49" s="1">
        <v>708</v>
      </c>
      <c r="L49" s="1">
        <v>27</v>
      </c>
      <c r="M49" s="1">
        <v>1174</v>
      </c>
      <c r="N49" s="1">
        <v>164.90199999999999</v>
      </c>
      <c r="O49" s="1">
        <v>66.901200000000003</v>
      </c>
    </row>
    <row r="50" spans="10:15">
      <c r="J50" s="1" t="s">
        <v>981</v>
      </c>
      <c r="K50" s="1">
        <v>764</v>
      </c>
      <c r="L50" s="1">
        <v>34</v>
      </c>
      <c r="M50" s="1">
        <v>1137</v>
      </c>
      <c r="N50" s="1">
        <v>173.11789999999999</v>
      </c>
      <c r="O50" s="1">
        <v>71.839100000000002</v>
      </c>
    </row>
    <row r="51" spans="10:15">
      <c r="J51" s="1" t="s">
        <v>982</v>
      </c>
      <c r="K51" s="1">
        <v>724</v>
      </c>
      <c r="L51" s="1">
        <v>32</v>
      </c>
      <c r="M51" s="1">
        <v>1082</v>
      </c>
      <c r="N51" s="1">
        <v>165.5471</v>
      </c>
      <c r="O51" s="1">
        <v>63.536999999999999</v>
      </c>
    </row>
    <row r="52" spans="10:15">
      <c r="J52" s="1" t="s">
        <v>983</v>
      </c>
      <c r="K52" s="1">
        <v>793</v>
      </c>
      <c r="L52" s="1">
        <v>26</v>
      </c>
      <c r="M52" s="1">
        <v>1032</v>
      </c>
      <c r="N52" s="1">
        <v>159.95249999999999</v>
      </c>
      <c r="O52" s="1">
        <v>60.391500000000001</v>
      </c>
    </row>
    <row r="53" spans="10:15" ht="29">
      <c r="J53" s="1" t="s">
        <v>984</v>
      </c>
      <c r="K53" s="1">
        <v>465</v>
      </c>
      <c r="L53" s="1">
        <v>23</v>
      </c>
      <c r="M53" s="1">
        <v>975</v>
      </c>
      <c r="N53" s="1">
        <v>75.612300000000005</v>
      </c>
      <c r="O53" s="1">
        <v>31.023599999999998</v>
      </c>
    </row>
    <row r="54" spans="10:15">
      <c r="J54" s="1" t="s">
        <v>985</v>
      </c>
      <c r="K54" s="1">
        <v>686</v>
      </c>
      <c r="L54" s="1">
        <v>32</v>
      </c>
      <c r="M54" s="1">
        <v>942</v>
      </c>
      <c r="N54" s="1">
        <v>151.74100000000001</v>
      </c>
      <c r="O54" s="1">
        <v>66.206999999999994</v>
      </c>
    </row>
    <row r="55" spans="10:15" ht="29">
      <c r="J55" s="1" t="s">
        <v>986</v>
      </c>
      <c r="K55" s="1">
        <v>714</v>
      </c>
      <c r="L55" s="1">
        <v>30</v>
      </c>
      <c r="M55" s="1">
        <v>924</v>
      </c>
      <c r="N55" s="1">
        <v>140.3193</v>
      </c>
      <c r="O55" s="1">
        <v>58.418799999999997</v>
      </c>
    </row>
    <row r="56" spans="10:15">
      <c r="J56" s="1" t="s">
        <v>987</v>
      </c>
      <c r="K56" s="1">
        <v>696</v>
      </c>
      <c r="L56" s="1">
        <v>29</v>
      </c>
      <c r="M56" s="1">
        <v>918</v>
      </c>
      <c r="N56" s="1">
        <v>175.68190000000001</v>
      </c>
      <c r="O56" s="1">
        <v>78.213499999999996</v>
      </c>
    </row>
    <row r="57" spans="10:15" ht="29">
      <c r="J57" s="1" t="s">
        <v>988</v>
      </c>
      <c r="K57" s="1">
        <v>698</v>
      </c>
      <c r="L57" s="1">
        <v>30</v>
      </c>
      <c r="M57" s="1">
        <v>917</v>
      </c>
      <c r="N57" s="1">
        <v>150.4068</v>
      </c>
      <c r="O57" s="1">
        <v>60.382800000000003</v>
      </c>
    </row>
    <row r="58" spans="10:15">
      <c r="J58" s="1" t="s">
        <v>989</v>
      </c>
      <c r="K58" s="1">
        <v>571</v>
      </c>
      <c r="L58" s="1">
        <v>30</v>
      </c>
      <c r="M58" s="1">
        <v>892</v>
      </c>
      <c r="N58" s="1">
        <v>164.60759999999999</v>
      </c>
      <c r="O58" s="1">
        <v>68.159199999999998</v>
      </c>
    </row>
    <row r="59" spans="10:15">
      <c r="J59" s="1" t="s">
        <v>990</v>
      </c>
      <c r="K59" s="1">
        <v>721</v>
      </c>
      <c r="L59" s="1">
        <v>15</v>
      </c>
      <c r="M59" s="1">
        <v>882</v>
      </c>
      <c r="N59" s="1">
        <v>149.25059999999999</v>
      </c>
      <c r="O59" s="1">
        <v>61.206299999999999</v>
      </c>
    </row>
    <row r="60" spans="10:15">
      <c r="J60" s="1" t="s">
        <v>991</v>
      </c>
      <c r="K60" s="1">
        <v>583</v>
      </c>
      <c r="L60" s="1">
        <v>16</v>
      </c>
      <c r="M60" s="1">
        <v>863</v>
      </c>
      <c r="N60" s="1">
        <v>170.124</v>
      </c>
      <c r="O60" s="1">
        <v>67.528400000000005</v>
      </c>
    </row>
    <row r="61" spans="10:15">
      <c r="J61" s="1" t="s">
        <v>992</v>
      </c>
      <c r="K61" s="1">
        <v>596</v>
      </c>
      <c r="L61" s="1">
        <v>29</v>
      </c>
      <c r="M61" s="1">
        <v>841</v>
      </c>
      <c r="N61" s="1">
        <v>110.8395</v>
      </c>
      <c r="O61" s="1">
        <v>43.872799999999998</v>
      </c>
    </row>
    <row r="62" spans="10:15" ht="29">
      <c r="J62" s="1" t="s">
        <v>993</v>
      </c>
      <c r="K62" s="1">
        <v>484</v>
      </c>
      <c r="L62" s="1">
        <v>21</v>
      </c>
      <c r="M62" s="1">
        <v>805</v>
      </c>
      <c r="N62" s="1">
        <v>129.48820000000001</v>
      </c>
      <c r="O62" s="1">
        <v>46.539099999999998</v>
      </c>
    </row>
    <row r="63" spans="10:15">
      <c r="J63" s="1" t="s">
        <v>994</v>
      </c>
      <c r="K63" s="1">
        <v>671</v>
      </c>
      <c r="L63" s="1">
        <v>16</v>
      </c>
      <c r="M63" s="1">
        <v>739</v>
      </c>
      <c r="N63" s="1">
        <v>158.86600000000001</v>
      </c>
      <c r="O63" s="1">
        <v>59.303100000000001</v>
      </c>
    </row>
    <row r="64" spans="10:15">
      <c r="J64" s="1" t="s">
        <v>995</v>
      </c>
      <c r="K64" s="1">
        <v>618</v>
      </c>
      <c r="L64" s="1">
        <v>24</v>
      </c>
      <c r="M64" s="1">
        <v>728</v>
      </c>
      <c r="N64" s="1">
        <v>161.62090000000001</v>
      </c>
      <c r="O64" s="1">
        <v>69.916200000000003</v>
      </c>
    </row>
    <row r="65" spans="10:15">
      <c r="J65" s="1" t="s">
        <v>996</v>
      </c>
      <c r="K65" s="1">
        <v>570</v>
      </c>
      <c r="L65" s="1">
        <v>22</v>
      </c>
      <c r="M65" s="1">
        <v>714</v>
      </c>
      <c r="N65" s="1">
        <v>158.27170000000001</v>
      </c>
      <c r="O65" s="1">
        <v>58.362699999999997</v>
      </c>
    </row>
    <row r="66" spans="10:15" ht="29">
      <c r="J66" s="1" t="s">
        <v>997</v>
      </c>
      <c r="K66" s="1">
        <v>430</v>
      </c>
      <c r="L66" s="1">
        <v>21</v>
      </c>
      <c r="M66" s="1">
        <v>683</v>
      </c>
      <c r="N66" s="1">
        <v>157.59880000000001</v>
      </c>
      <c r="O66" s="1">
        <v>58.874099999999999</v>
      </c>
    </row>
    <row r="67" spans="10:15">
      <c r="J67" s="1" t="s">
        <v>998</v>
      </c>
      <c r="K67" s="1">
        <v>462</v>
      </c>
      <c r="L67" s="1">
        <v>26</v>
      </c>
      <c r="M67" s="1">
        <v>671</v>
      </c>
      <c r="N67" s="1">
        <v>154.1788</v>
      </c>
      <c r="O67" s="1">
        <v>59.491799999999998</v>
      </c>
    </row>
    <row r="68" spans="10:15">
      <c r="J68" s="1" t="s">
        <v>999</v>
      </c>
      <c r="K68" s="1">
        <v>507</v>
      </c>
      <c r="L68" s="1">
        <v>25</v>
      </c>
      <c r="M68" s="1">
        <v>658</v>
      </c>
      <c r="N68" s="1">
        <v>171.1489</v>
      </c>
      <c r="O68" s="1">
        <v>72.518199999999993</v>
      </c>
    </row>
    <row r="69" spans="10:15" ht="29">
      <c r="J69" s="1" t="s">
        <v>1000</v>
      </c>
      <c r="K69" s="1">
        <v>453</v>
      </c>
      <c r="L69" s="1">
        <v>24</v>
      </c>
      <c r="M69" s="1">
        <v>631</v>
      </c>
      <c r="N69" s="1">
        <v>140.21709999999999</v>
      </c>
      <c r="O69" s="1">
        <v>51.421599999999998</v>
      </c>
    </row>
    <row r="70" spans="10:15">
      <c r="J70" s="1" t="s">
        <v>1001</v>
      </c>
      <c r="K70" s="1">
        <v>412</v>
      </c>
      <c r="L70" s="1">
        <v>15</v>
      </c>
      <c r="M70" s="1">
        <v>627</v>
      </c>
      <c r="N70" s="1">
        <v>126.0335</v>
      </c>
      <c r="O70" s="1">
        <v>53.634799999999998</v>
      </c>
    </row>
    <row r="71" spans="10:15">
      <c r="J71" s="1" t="s">
        <v>1002</v>
      </c>
      <c r="K71" s="1">
        <v>507</v>
      </c>
      <c r="L71" s="1">
        <v>22</v>
      </c>
      <c r="M71" s="1">
        <v>561</v>
      </c>
      <c r="N71" s="1">
        <v>168.05699999999999</v>
      </c>
      <c r="O71" s="1">
        <v>69.468800000000002</v>
      </c>
    </row>
    <row r="72" spans="10:15">
      <c r="J72" s="1" t="s">
        <v>1003</v>
      </c>
      <c r="K72" s="1">
        <v>487</v>
      </c>
      <c r="L72" s="1">
        <v>22</v>
      </c>
      <c r="M72" s="1">
        <v>555</v>
      </c>
      <c r="N72" s="1">
        <v>155.4649</v>
      </c>
      <c r="O72" s="1">
        <v>61.0595</v>
      </c>
    </row>
    <row r="73" spans="10:15">
      <c r="J73" s="1" t="s">
        <v>1004</v>
      </c>
      <c r="K73" s="1">
        <v>421</v>
      </c>
      <c r="L73" s="1">
        <v>15</v>
      </c>
      <c r="M73" s="1">
        <v>554</v>
      </c>
      <c r="N73" s="1">
        <v>150.17150000000001</v>
      </c>
      <c r="O73" s="1">
        <v>58.918799999999997</v>
      </c>
    </row>
    <row r="74" spans="10:15">
      <c r="J74" s="1" t="s">
        <v>1005</v>
      </c>
      <c r="K74" s="1">
        <v>432</v>
      </c>
      <c r="L74" s="1">
        <v>20</v>
      </c>
      <c r="M74" s="1">
        <v>544</v>
      </c>
      <c r="N74" s="1">
        <v>111.1544</v>
      </c>
      <c r="O74" s="1">
        <v>46.363999999999997</v>
      </c>
    </row>
    <row r="75" spans="10:15">
      <c r="J75" s="1" t="s">
        <v>1006</v>
      </c>
      <c r="K75" s="1">
        <v>480</v>
      </c>
      <c r="L75" s="1">
        <v>23</v>
      </c>
      <c r="M75" s="1">
        <v>542</v>
      </c>
      <c r="N75" s="1">
        <v>147.679</v>
      </c>
      <c r="O75" s="1">
        <v>57.926200000000001</v>
      </c>
    </row>
    <row r="76" spans="10:15">
      <c r="J76" s="1" t="s">
        <v>1007</v>
      </c>
      <c r="K76" s="1">
        <v>415</v>
      </c>
      <c r="L76" s="1">
        <v>20</v>
      </c>
      <c r="M76" s="1">
        <v>536</v>
      </c>
      <c r="N76" s="1">
        <v>149.74629999999999</v>
      </c>
      <c r="O76" s="1">
        <v>56.572800000000001</v>
      </c>
    </row>
    <row r="77" spans="10:15" ht="29">
      <c r="J77" s="1" t="s">
        <v>1008</v>
      </c>
      <c r="K77" s="1">
        <v>434</v>
      </c>
      <c r="L77" s="1">
        <v>20</v>
      </c>
      <c r="M77" s="1">
        <v>527</v>
      </c>
      <c r="N77" s="1">
        <v>163.21250000000001</v>
      </c>
      <c r="O77" s="1">
        <v>67.982900000000001</v>
      </c>
    </row>
    <row r="78" spans="10:15">
      <c r="J78" s="1" t="s">
        <v>1009</v>
      </c>
      <c r="K78" s="1">
        <v>461</v>
      </c>
      <c r="L78" s="1">
        <v>13</v>
      </c>
      <c r="M78" s="1">
        <v>519</v>
      </c>
      <c r="N78" s="1">
        <v>122.96720000000001</v>
      </c>
      <c r="O78" s="1">
        <v>50.229300000000002</v>
      </c>
    </row>
    <row r="79" spans="10:15">
      <c r="J79" s="1" t="s">
        <v>1010</v>
      </c>
      <c r="K79" s="1">
        <v>414</v>
      </c>
      <c r="L79" s="1">
        <v>26</v>
      </c>
      <c r="M79" s="1">
        <v>502</v>
      </c>
      <c r="N79" s="1">
        <v>141.39439999999999</v>
      </c>
      <c r="O79" s="1">
        <v>56.854599999999998</v>
      </c>
    </row>
    <row r="80" spans="10:15">
      <c r="J80" s="1" t="s">
        <v>1011</v>
      </c>
      <c r="K80" s="1">
        <v>392</v>
      </c>
      <c r="L80" s="1">
        <v>22</v>
      </c>
      <c r="M80" s="1">
        <v>483</v>
      </c>
      <c r="N80" s="1">
        <v>184.61699999999999</v>
      </c>
      <c r="O80" s="1">
        <v>80.275400000000005</v>
      </c>
    </row>
    <row r="81" spans="10:15" ht="58">
      <c r="J81" s="1" t="s">
        <v>1012</v>
      </c>
      <c r="K81" s="1">
        <v>380</v>
      </c>
      <c r="L81" s="1">
        <v>24</v>
      </c>
      <c r="M81" s="1">
        <v>459</v>
      </c>
      <c r="N81" s="1">
        <v>179.5926</v>
      </c>
      <c r="O81" s="1">
        <v>78.965100000000007</v>
      </c>
    </row>
    <row r="82" spans="10:15" ht="29">
      <c r="J82" s="1" t="s">
        <v>1013</v>
      </c>
      <c r="K82" s="1">
        <v>299</v>
      </c>
      <c r="L82" s="1">
        <v>21</v>
      </c>
      <c r="M82" s="1">
        <v>424</v>
      </c>
      <c r="N82" s="1">
        <v>132.82079999999999</v>
      </c>
      <c r="O82" s="1">
        <v>49.841999999999999</v>
      </c>
    </row>
    <row r="83" spans="10:15" ht="29">
      <c r="J83" s="1" t="s">
        <v>1014</v>
      </c>
      <c r="K83" s="1">
        <v>342</v>
      </c>
      <c r="L83" s="1">
        <v>20</v>
      </c>
      <c r="M83" s="1">
        <v>402</v>
      </c>
      <c r="N83" s="1">
        <v>143.30350000000001</v>
      </c>
      <c r="O83" s="1">
        <v>53.393000000000001</v>
      </c>
    </row>
    <row r="84" spans="10:15">
      <c r="J84" s="1" t="s">
        <v>1015</v>
      </c>
      <c r="K84" s="1">
        <v>304</v>
      </c>
      <c r="L84" s="1">
        <v>13</v>
      </c>
      <c r="M84" s="1">
        <v>378</v>
      </c>
      <c r="N84" s="1">
        <v>155.53700000000001</v>
      </c>
      <c r="O84" s="1">
        <v>65.632300000000001</v>
      </c>
    </row>
    <row r="85" spans="10:15" ht="43.5">
      <c r="J85" s="1" t="s">
        <v>1016</v>
      </c>
      <c r="K85" s="1">
        <v>255</v>
      </c>
      <c r="L85" s="1">
        <v>14</v>
      </c>
      <c r="M85" s="1">
        <v>377</v>
      </c>
      <c r="N85" s="1">
        <v>165.30770000000001</v>
      </c>
      <c r="O85" s="1">
        <v>68.233400000000003</v>
      </c>
    </row>
    <row r="86" spans="10:15">
      <c r="J86" s="1" t="s">
        <v>1017</v>
      </c>
      <c r="K86" s="1">
        <v>284</v>
      </c>
      <c r="L86" s="1">
        <v>9</v>
      </c>
      <c r="M86" s="1">
        <v>376</v>
      </c>
      <c r="N86" s="1">
        <v>168.0239</v>
      </c>
      <c r="O86" s="1">
        <v>68.763300000000001</v>
      </c>
    </row>
    <row r="87" spans="10:15" ht="29">
      <c r="J87" s="1" t="s">
        <v>1018</v>
      </c>
      <c r="K87" s="1">
        <v>197</v>
      </c>
      <c r="L87" s="1">
        <v>12</v>
      </c>
      <c r="M87" s="1">
        <v>368</v>
      </c>
      <c r="N87" s="1">
        <v>131.46199999999999</v>
      </c>
      <c r="O87" s="1">
        <v>52.760899999999999</v>
      </c>
    </row>
    <row r="88" spans="10:15">
      <c r="J88" s="1" t="s">
        <v>1019</v>
      </c>
      <c r="K88" s="1">
        <v>301</v>
      </c>
      <c r="L88" s="1">
        <v>5</v>
      </c>
      <c r="M88" s="1">
        <v>360</v>
      </c>
      <c r="N88" s="1">
        <v>164.16669999999999</v>
      </c>
      <c r="O88" s="1">
        <v>55.25</v>
      </c>
    </row>
    <row r="89" spans="10:15">
      <c r="J89" s="1" t="s">
        <v>1020</v>
      </c>
      <c r="K89" s="1">
        <v>298</v>
      </c>
      <c r="L89" s="1">
        <v>8</v>
      </c>
      <c r="M89" s="1">
        <v>354</v>
      </c>
      <c r="N89" s="1">
        <v>146.3503</v>
      </c>
      <c r="O89" s="1">
        <v>57.977400000000003</v>
      </c>
    </row>
    <row r="90" spans="10:15" ht="29">
      <c r="J90" s="1" t="s">
        <v>1021</v>
      </c>
      <c r="K90" s="1">
        <v>212</v>
      </c>
      <c r="L90" s="1">
        <v>16</v>
      </c>
      <c r="M90" s="1">
        <v>342</v>
      </c>
      <c r="N90" s="1">
        <v>129.3801</v>
      </c>
      <c r="O90" s="1">
        <v>49.666699999999999</v>
      </c>
    </row>
    <row r="91" spans="10:15" ht="29">
      <c r="J91" s="1" t="s">
        <v>1022</v>
      </c>
      <c r="K91" s="1">
        <v>285</v>
      </c>
      <c r="L91" s="1">
        <v>20</v>
      </c>
      <c r="M91" s="1">
        <v>322</v>
      </c>
      <c r="N91" s="1">
        <v>168.3913</v>
      </c>
      <c r="O91" s="1">
        <v>66.506200000000007</v>
      </c>
    </row>
    <row r="92" spans="10:15" ht="29">
      <c r="J92" s="1" t="s">
        <v>1023</v>
      </c>
      <c r="K92" s="1">
        <v>231</v>
      </c>
      <c r="L92" s="1">
        <v>17</v>
      </c>
      <c r="M92" s="1">
        <v>311</v>
      </c>
      <c r="N92" s="1">
        <v>161.12219999999999</v>
      </c>
      <c r="O92" s="1">
        <v>63.752400000000002</v>
      </c>
    </row>
    <row r="93" spans="10:15">
      <c r="J93" s="1" t="s">
        <v>1024</v>
      </c>
      <c r="K93" s="1">
        <v>256</v>
      </c>
      <c r="L93" s="1">
        <v>23</v>
      </c>
      <c r="M93" s="1">
        <v>310</v>
      </c>
      <c r="N93" s="1">
        <v>174.56129999999999</v>
      </c>
      <c r="O93" s="1">
        <v>75.896799999999999</v>
      </c>
    </row>
    <row r="94" spans="10:15" ht="29">
      <c r="J94" s="1" t="s">
        <v>1025</v>
      </c>
      <c r="K94" s="1">
        <v>262</v>
      </c>
      <c r="L94" s="1">
        <v>12</v>
      </c>
      <c r="M94" s="1">
        <v>307</v>
      </c>
      <c r="N94" s="1">
        <v>146.95439999999999</v>
      </c>
      <c r="O94" s="1">
        <v>61.674300000000002</v>
      </c>
    </row>
    <row r="95" spans="10:15" ht="29">
      <c r="J95" s="1" t="s">
        <v>1026</v>
      </c>
      <c r="K95" s="1">
        <v>205</v>
      </c>
      <c r="L95" s="1">
        <v>12</v>
      </c>
      <c r="M95" s="1">
        <v>290</v>
      </c>
      <c r="N95" s="1">
        <v>146.631</v>
      </c>
      <c r="O95" s="1">
        <v>60.231000000000002</v>
      </c>
    </row>
    <row r="96" spans="10:15">
      <c r="J96" s="1" t="s">
        <v>1027</v>
      </c>
      <c r="K96" s="1">
        <v>214</v>
      </c>
      <c r="L96" s="1">
        <v>18</v>
      </c>
      <c r="M96" s="1">
        <v>274</v>
      </c>
      <c r="N96" s="1">
        <v>163.16059999999999</v>
      </c>
      <c r="O96" s="1">
        <v>63.576599999999999</v>
      </c>
    </row>
    <row r="97" spans="10:15">
      <c r="J97" s="1" t="s">
        <v>1028</v>
      </c>
      <c r="K97" s="1">
        <v>184</v>
      </c>
      <c r="L97" s="1">
        <v>16</v>
      </c>
      <c r="M97" s="1">
        <v>271</v>
      </c>
      <c r="N97" s="1">
        <v>138.85980000000001</v>
      </c>
      <c r="O97" s="1">
        <v>57.191899999999997</v>
      </c>
    </row>
    <row r="98" spans="10:15">
      <c r="J98" s="1" t="s">
        <v>1029</v>
      </c>
      <c r="K98" s="1">
        <v>242</v>
      </c>
      <c r="L98" s="1">
        <v>11</v>
      </c>
      <c r="M98" s="1">
        <v>267</v>
      </c>
      <c r="N98" s="1">
        <v>163.5206</v>
      </c>
      <c r="O98" s="1">
        <v>68.033699999999996</v>
      </c>
    </row>
    <row r="99" spans="10:15">
      <c r="J99" s="1" t="s">
        <v>1030</v>
      </c>
      <c r="K99" s="1">
        <v>227</v>
      </c>
      <c r="L99" s="1">
        <v>16</v>
      </c>
      <c r="M99" s="1">
        <v>264</v>
      </c>
      <c r="N99" s="1">
        <v>168.01519999999999</v>
      </c>
      <c r="O99" s="1">
        <v>70.931799999999996</v>
      </c>
    </row>
    <row r="100" spans="10:15" ht="29">
      <c r="J100" s="1" t="s">
        <v>1031</v>
      </c>
      <c r="K100" s="1">
        <v>197</v>
      </c>
      <c r="L100" s="1">
        <v>19</v>
      </c>
      <c r="M100" s="1">
        <v>263</v>
      </c>
      <c r="N100" s="1">
        <v>139.7338</v>
      </c>
      <c r="O100" s="1">
        <v>54.216700000000003</v>
      </c>
    </row>
    <row r="101" spans="10:15" ht="43.5">
      <c r="J101" s="1" t="s">
        <v>1032</v>
      </c>
      <c r="K101" s="1">
        <v>242</v>
      </c>
      <c r="L101" s="1">
        <v>18</v>
      </c>
      <c r="M101" s="1">
        <v>263</v>
      </c>
      <c r="N101" s="1">
        <v>139.49430000000001</v>
      </c>
      <c r="O101" s="1">
        <v>56.243299999999998</v>
      </c>
    </row>
    <row r="102" spans="10:15">
      <c r="J102" s="1" t="s">
        <v>1033</v>
      </c>
      <c r="K102" s="1">
        <v>215</v>
      </c>
      <c r="L102" s="1">
        <v>13</v>
      </c>
      <c r="M102" s="1">
        <v>256</v>
      </c>
      <c r="N102" s="1">
        <v>139.69919999999999</v>
      </c>
      <c r="O102" s="1">
        <v>59.289099999999998</v>
      </c>
    </row>
    <row r="103" spans="10:15">
      <c r="J103" s="1" t="s">
        <v>1034</v>
      </c>
      <c r="K103" s="1">
        <v>217</v>
      </c>
      <c r="L103" s="1">
        <v>8</v>
      </c>
      <c r="M103" s="1">
        <v>253</v>
      </c>
      <c r="N103" s="1">
        <v>152.3597</v>
      </c>
      <c r="O103" s="1">
        <v>57.324100000000001</v>
      </c>
    </row>
    <row r="104" spans="10:15">
      <c r="J104" s="1" t="s">
        <v>1035</v>
      </c>
      <c r="K104" s="1">
        <v>203</v>
      </c>
      <c r="L104" s="1">
        <v>18</v>
      </c>
      <c r="M104" s="1">
        <v>241</v>
      </c>
      <c r="N104" s="1">
        <v>163.33609999999999</v>
      </c>
      <c r="O104" s="1">
        <v>70.157700000000006</v>
      </c>
    </row>
    <row r="105" spans="10:15" ht="29">
      <c r="J105" s="1" t="s">
        <v>1036</v>
      </c>
      <c r="K105" s="1">
        <v>179</v>
      </c>
      <c r="L105" s="1">
        <v>17</v>
      </c>
      <c r="M105" s="1">
        <v>238</v>
      </c>
      <c r="N105" s="1">
        <v>155.71430000000001</v>
      </c>
      <c r="O105" s="1">
        <v>64.768900000000002</v>
      </c>
    </row>
    <row r="106" spans="10:15" ht="43.5">
      <c r="J106" s="1" t="s">
        <v>1037</v>
      </c>
      <c r="K106" s="1">
        <v>167</v>
      </c>
      <c r="L106" s="1">
        <v>19</v>
      </c>
      <c r="M106" s="1">
        <v>236</v>
      </c>
      <c r="N106" s="1">
        <v>153.11859999999999</v>
      </c>
      <c r="O106" s="1">
        <v>63.415300000000002</v>
      </c>
    </row>
    <row r="107" spans="10:15">
      <c r="J107" s="1" t="s">
        <v>1038</v>
      </c>
      <c r="K107" s="1">
        <v>180</v>
      </c>
      <c r="L107" s="1">
        <v>13</v>
      </c>
      <c r="M107" s="1">
        <v>232</v>
      </c>
      <c r="N107" s="1">
        <v>150.64660000000001</v>
      </c>
      <c r="O107" s="1">
        <v>60.7241</v>
      </c>
    </row>
    <row r="108" spans="10:15">
      <c r="J108" s="1" t="s">
        <v>1039</v>
      </c>
      <c r="K108" s="1">
        <v>163</v>
      </c>
      <c r="L108" s="1">
        <v>14</v>
      </c>
      <c r="M108" s="1">
        <v>225</v>
      </c>
      <c r="N108" s="1">
        <v>159.40440000000001</v>
      </c>
      <c r="O108" s="1">
        <v>70.226699999999994</v>
      </c>
    </row>
    <row r="109" spans="10:15">
      <c r="J109" s="1" t="s">
        <v>1040</v>
      </c>
      <c r="K109" s="1">
        <v>149</v>
      </c>
      <c r="L109" s="1">
        <v>13</v>
      </c>
      <c r="M109" s="1">
        <v>219</v>
      </c>
      <c r="N109" s="1">
        <v>154.92240000000001</v>
      </c>
      <c r="O109" s="1">
        <v>63.515999999999998</v>
      </c>
    </row>
    <row r="110" spans="10:15" ht="29">
      <c r="J110" s="1" t="s">
        <v>1041</v>
      </c>
      <c r="K110" s="1">
        <v>168</v>
      </c>
      <c r="L110" s="1">
        <v>12</v>
      </c>
      <c r="M110" s="1">
        <v>211</v>
      </c>
      <c r="N110" s="1">
        <v>149.4171</v>
      </c>
      <c r="O110" s="1">
        <v>57.2986</v>
      </c>
    </row>
    <row r="111" spans="10:15" ht="29">
      <c r="J111" s="1" t="s">
        <v>1042</v>
      </c>
      <c r="K111" s="1">
        <v>139</v>
      </c>
      <c r="L111" s="1">
        <v>14</v>
      </c>
      <c r="M111" s="1">
        <v>210</v>
      </c>
      <c r="N111" s="1">
        <v>139.6857</v>
      </c>
      <c r="O111" s="1">
        <v>51.947600000000001</v>
      </c>
    </row>
    <row r="112" spans="10:15">
      <c r="J112" s="1" t="s">
        <v>1043</v>
      </c>
      <c r="K112" s="1">
        <v>163</v>
      </c>
      <c r="L112" s="1">
        <v>13</v>
      </c>
      <c r="M112" s="1">
        <v>204</v>
      </c>
      <c r="N112" s="1">
        <v>120.85290000000001</v>
      </c>
      <c r="O112" s="1">
        <v>48.6569</v>
      </c>
    </row>
    <row r="113" spans="10:15">
      <c r="J113" s="1" t="s">
        <v>1044</v>
      </c>
      <c r="K113" s="1">
        <v>141</v>
      </c>
      <c r="L113" s="1">
        <v>16</v>
      </c>
      <c r="M113" s="1">
        <v>191</v>
      </c>
      <c r="N113" s="1">
        <v>127.35080000000001</v>
      </c>
      <c r="O113" s="1">
        <v>55.654499999999999</v>
      </c>
    </row>
    <row r="114" spans="10:15" ht="29">
      <c r="J114" s="1" t="s">
        <v>1045</v>
      </c>
      <c r="K114" s="1">
        <v>143</v>
      </c>
      <c r="L114" s="1">
        <v>14</v>
      </c>
      <c r="M114" s="1">
        <v>183</v>
      </c>
      <c r="N114" s="1">
        <v>153.4699</v>
      </c>
      <c r="O114" s="1">
        <v>63.967199999999998</v>
      </c>
    </row>
    <row r="115" spans="10:15" ht="29">
      <c r="J115" s="1" t="s">
        <v>1046</v>
      </c>
      <c r="K115" s="1">
        <v>154</v>
      </c>
      <c r="L115" s="1">
        <v>12</v>
      </c>
      <c r="M115" s="1">
        <v>180</v>
      </c>
      <c r="N115" s="1">
        <v>147.23330000000001</v>
      </c>
      <c r="O115" s="1">
        <v>59.588900000000002</v>
      </c>
    </row>
    <row r="116" spans="10:15">
      <c r="J116" s="1" t="s">
        <v>1047</v>
      </c>
      <c r="K116" s="1">
        <v>162</v>
      </c>
      <c r="L116" s="1">
        <v>15</v>
      </c>
      <c r="M116" s="1">
        <v>177</v>
      </c>
      <c r="N116" s="1">
        <v>159.9153</v>
      </c>
      <c r="O116" s="1">
        <v>67.638400000000004</v>
      </c>
    </row>
    <row r="117" spans="10:15" ht="29">
      <c r="J117" s="1" t="s">
        <v>1048</v>
      </c>
      <c r="K117" s="1">
        <v>139</v>
      </c>
      <c r="L117" s="1">
        <v>13</v>
      </c>
      <c r="M117" s="1">
        <v>171</v>
      </c>
      <c r="N117" s="1">
        <v>142.09360000000001</v>
      </c>
      <c r="O117" s="1">
        <v>55.286499999999997</v>
      </c>
    </row>
    <row r="118" spans="10:15">
      <c r="J118" s="1" t="s">
        <v>1049</v>
      </c>
      <c r="K118" s="1">
        <v>98</v>
      </c>
      <c r="L118" s="1">
        <v>12</v>
      </c>
      <c r="M118" s="1">
        <v>169</v>
      </c>
      <c r="N118" s="1">
        <v>138.75739999999999</v>
      </c>
      <c r="O118" s="1">
        <v>56.432000000000002</v>
      </c>
    </row>
    <row r="119" spans="10:15">
      <c r="J119" s="1" t="s">
        <v>1050</v>
      </c>
      <c r="K119" s="1">
        <v>148</v>
      </c>
      <c r="L119" s="1">
        <v>13</v>
      </c>
      <c r="M119" s="1">
        <v>158</v>
      </c>
      <c r="N119" s="1">
        <v>134.87970000000001</v>
      </c>
      <c r="O119" s="1">
        <v>60.550600000000003</v>
      </c>
    </row>
    <row r="120" spans="10:15" ht="58">
      <c r="J120" s="1" t="s">
        <v>1051</v>
      </c>
      <c r="K120" s="1">
        <v>109</v>
      </c>
      <c r="L120" s="1">
        <v>15</v>
      </c>
      <c r="M120" s="1">
        <v>155</v>
      </c>
      <c r="N120" s="1">
        <v>146.59350000000001</v>
      </c>
      <c r="O120" s="1">
        <v>64.761300000000006</v>
      </c>
    </row>
    <row r="121" spans="10:15">
      <c r="J121" s="1" t="s">
        <v>1052</v>
      </c>
      <c r="K121" s="1">
        <v>149</v>
      </c>
      <c r="L121" s="1">
        <v>13</v>
      </c>
      <c r="M121" s="1">
        <v>155</v>
      </c>
      <c r="N121" s="1">
        <v>87.903199999999998</v>
      </c>
      <c r="O121" s="1">
        <v>42.8</v>
      </c>
    </row>
    <row r="122" spans="10:15">
      <c r="J122" s="1" t="s">
        <v>1053</v>
      </c>
      <c r="K122" s="1">
        <v>123</v>
      </c>
      <c r="L122" s="1">
        <v>15</v>
      </c>
      <c r="M122" s="1">
        <v>154</v>
      </c>
      <c r="N122" s="1">
        <v>156.55840000000001</v>
      </c>
      <c r="O122" s="1">
        <v>54.948099999999997</v>
      </c>
    </row>
    <row r="123" spans="10:15">
      <c r="J123" s="1" t="s">
        <v>1054</v>
      </c>
      <c r="K123" s="1">
        <v>136</v>
      </c>
      <c r="L123" s="1">
        <v>8</v>
      </c>
      <c r="M123" s="1">
        <v>154</v>
      </c>
      <c r="N123" s="1">
        <v>143.64940000000001</v>
      </c>
      <c r="O123" s="1">
        <v>56.142899999999997</v>
      </c>
    </row>
    <row r="124" spans="10:15">
      <c r="J124" s="1" t="s">
        <v>1055</v>
      </c>
      <c r="K124" s="1">
        <v>85</v>
      </c>
      <c r="L124" s="1">
        <v>8</v>
      </c>
      <c r="M124" s="1">
        <v>151</v>
      </c>
      <c r="N124" s="1">
        <v>15.6556</v>
      </c>
      <c r="O124" s="1">
        <v>0</v>
      </c>
    </row>
    <row r="125" spans="10:15">
      <c r="J125" s="1" t="s">
        <v>1056</v>
      </c>
      <c r="K125" s="1">
        <v>114</v>
      </c>
      <c r="L125" s="1">
        <v>15</v>
      </c>
      <c r="M125" s="1">
        <v>151</v>
      </c>
      <c r="N125" s="1">
        <v>130.45699999999999</v>
      </c>
      <c r="O125" s="1">
        <v>49.430500000000002</v>
      </c>
    </row>
    <row r="126" spans="10:15">
      <c r="J126" s="1" t="s">
        <v>1057</v>
      </c>
      <c r="K126" s="1">
        <v>130</v>
      </c>
      <c r="L126" s="1">
        <v>5</v>
      </c>
      <c r="M126" s="1">
        <v>149</v>
      </c>
      <c r="N126" s="1">
        <v>161.6644</v>
      </c>
      <c r="O126" s="1">
        <v>60.798699999999997</v>
      </c>
    </row>
    <row r="127" spans="10:15" ht="29">
      <c r="J127" s="1" t="s">
        <v>1058</v>
      </c>
      <c r="K127" s="1">
        <v>113</v>
      </c>
      <c r="L127" s="1">
        <v>13</v>
      </c>
      <c r="M127" s="1">
        <v>144</v>
      </c>
      <c r="N127" s="1">
        <v>134.38890000000001</v>
      </c>
      <c r="O127" s="1">
        <v>53.409700000000001</v>
      </c>
    </row>
    <row r="128" spans="10:15">
      <c r="J128" s="1" t="s">
        <v>1059</v>
      </c>
      <c r="K128" s="1">
        <v>111</v>
      </c>
      <c r="L128" s="1">
        <v>11</v>
      </c>
      <c r="M128" s="1">
        <v>140</v>
      </c>
      <c r="N128" s="1">
        <v>149.02860000000001</v>
      </c>
      <c r="O128" s="1">
        <v>53.685699999999997</v>
      </c>
    </row>
    <row r="129" spans="10:15">
      <c r="J129" s="1" t="s">
        <v>1060</v>
      </c>
      <c r="K129" s="1">
        <v>106</v>
      </c>
      <c r="L129" s="1">
        <v>12</v>
      </c>
      <c r="M129" s="1">
        <v>136</v>
      </c>
      <c r="N129" s="1">
        <v>147.77209999999999</v>
      </c>
      <c r="O129" s="1">
        <v>59.4191</v>
      </c>
    </row>
    <row r="130" spans="10:15">
      <c r="J130" s="1" t="s">
        <v>1061</v>
      </c>
      <c r="K130" s="1">
        <v>121</v>
      </c>
      <c r="L130" s="1">
        <v>13</v>
      </c>
      <c r="M130" s="1">
        <v>136</v>
      </c>
      <c r="N130" s="1">
        <v>132.5735</v>
      </c>
      <c r="O130" s="1">
        <v>55.786799999999999</v>
      </c>
    </row>
    <row r="131" spans="10:15" ht="43.5">
      <c r="J131" s="1" t="s">
        <v>1062</v>
      </c>
      <c r="K131" s="1">
        <v>89</v>
      </c>
      <c r="L131" s="1">
        <v>6</v>
      </c>
      <c r="M131" s="1">
        <v>132</v>
      </c>
      <c r="N131" s="1">
        <v>152.56819999999999</v>
      </c>
      <c r="O131" s="1">
        <v>58.151499999999999</v>
      </c>
    </row>
    <row r="132" spans="10:15" ht="29">
      <c r="J132" s="1" t="s">
        <v>1063</v>
      </c>
      <c r="K132" s="1">
        <v>102</v>
      </c>
      <c r="L132" s="1">
        <v>10</v>
      </c>
      <c r="M132" s="1">
        <v>121</v>
      </c>
      <c r="N132" s="1">
        <v>113.57850000000001</v>
      </c>
      <c r="O132" s="1">
        <v>45.735500000000002</v>
      </c>
    </row>
    <row r="133" spans="10:15" ht="29">
      <c r="J133" s="1" t="s">
        <v>1064</v>
      </c>
      <c r="K133" s="1">
        <v>98</v>
      </c>
      <c r="L133" s="1">
        <v>9</v>
      </c>
      <c r="M133" s="1">
        <v>120</v>
      </c>
      <c r="N133" s="1">
        <v>158.5583</v>
      </c>
      <c r="O133" s="1">
        <v>57.966700000000003</v>
      </c>
    </row>
    <row r="134" spans="10:15" ht="43.5">
      <c r="J134" s="1" t="s">
        <v>1065</v>
      </c>
      <c r="K134" s="1">
        <v>85</v>
      </c>
      <c r="L134" s="1">
        <v>10</v>
      </c>
      <c r="M134" s="1">
        <v>119</v>
      </c>
      <c r="N134" s="1">
        <v>4.6890999999999998</v>
      </c>
      <c r="O134" s="1">
        <v>8.5462000000000007</v>
      </c>
    </row>
    <row r="135" spans="10:15" ht="29">
      <c r="J135" s="1" t="s">
        <v>1066</v>
      </c>
      <c r="K135" s="1">
        <v>77</v>
      </c>
      <c r="L135" s="1">
        <v>5</v>
      </c>
      <c r="M135" s="1">
        <v>117</v>
      </c>
      <c r="N135" s="1">
        <v>158.39320000000001</v>
      </c>
      <c r="O135" s="1">
        <v>60.675199999999997</v>
      </c>
    </row>
    <row r="136" spans="10:15">
      <c r="J136" s="1" t="s">
        <v>1067</v>
      </c>
      <c r="K136" s="1">
        <v>100</v>
      </c>
      <c r="L136" s="1">
        <v>11</v>
      </c>
      <c r="M136" s="1">
        <v>114</v>
      </c>
      <c r="N136" s="1">
        <v>128.1842</v>
      </c>
      <c r="O136" s="1">
        <v>49.421100000000003</v>
      </c>
    </row>
    <row r="137" spans="10:15">
      <c r="J137" s="1" t="s">
        <v>1068</v>
      </c>
      <c r="K137" s="1">
        <v>97</v>
      </c>
      <c r="L137" s="1">
        <v>8</v>
      </c>
      <c r="M137" s="1">
        <v>113</v>
      </c>
      <c r="N137" s="1">
        <v>149.74340000000001</v>
      </c>
      <c r="O137" s="1">
        <v>58</v>
      </c>
    </row>
    <row r="138" spans="10:15" ht="43.5">
      <c r="J138" s="1" t="s">
        <v>1069</v>
      </c>
      <c r="K138" s="1">
        <v>73</v>
      </c>
      <c r="L138" s="1">
        <v>10</v>
      </c>
      <c r="M138" s="1">
        <v>112</v>
      </c>
      <c r="N138" s="1">
        <v>151.0179</v>
      </c>
      <c r="O138" s="1">
        <v>61.035699999999999</v>
      </c>
    </row>
    <row r="139" spans="10:15">
      <c r="J139" s="1" t="s">
        <v>1070</v>
      </c>
      <c r="K139" s="1">
        <v>79</v>
      </c>
      <c r="L139" s="1">
        <v>11</v>
      </c>
      <c r="M139" s="1">
        <v>111</v>
      </c>
      <c r="N139" s="1">
        <v>130.51349999999999</v>
      </c>
      <c r="O139" s="1">
        <v>55.720700000000001</v>
      </c>
    </row>
    <row r="140" spans="10:15" ht="29">
      <c r="J140" s="1" t="s">
        <v>1071</v>
      </c>
      <c r="K140" s="1">
        <v>83</v>
      </c>
      <c r="L140" s="1">
        <v>8</v>
      </c>
      <c r="M140" s="1">
        <v>111</v>
      </c>
      <c r="N140" s="1">
        <v>158.10810000000001</v>
      </c>
      <c r="O140" s="1">
        <v>62.378399999999999</v>
      </c>
    </row>
    <row r="141" spans="10:15" ht="43.5">
      <c r="J141" s="1" t="s">
        <v>1072</v>
      </c>
      <c r="K141" s="1">
        <v>78</v>
      </c>
      <c r="L141" s="1">
        <v>8</v>
      </c>
      <c r="M141" s="1">
        <v>106</v>
      </c>
      <c r="N141" s="1">
        <v>162.38679999999999</v>
      </c>
      <c r="O141" s="1">
        <v>61.160400000000003</v>
      </c>
    </row>
    <row r="142" spans="10:15" ht="29">
      <c r="J142" s="1" t="s">
        <v>1073</v>
      </c>
      <c r="K142" s="1">
        <v>96</v>
      </c>
      <c r="L142" s="1">
        <v>11</v>
      </c>
      <c r="M142" s="1">
        <v>103</v>
      </c>
      <c r="N142" s="1">
        <v>151.59219999999999</v>
      </c>
      <c r="O142" s="1">
        <v>54.417499999999997</v>
      </c>
    </row>
    <row r="143" spans="10:15" ht="29">
      <c r="J143" s="1" t="s">
        <v>1074</v>
      </c>
      <c r="K143" s="1">
        <v>97</v>
      </c>
      <c r="L143" s="1">
        <v>10</v>
      </c>
      <c r="M143" s="1">
        <v>102</v>
      </c>
      <c r="N143" s="1">
        <v>183.83330000000001</v>
      </c>
      <c r="O143" s="1">
        <v>85.607799999999997</v>
      </c>
    </row>
    <row r="144" spans="10:15">
      <c r="J144" s="1" t="s">
        <v>1075</v>
      </c>
      <c r="K144" s="1">
        <v>38</v>
      </c>
      <c r="L144" s="1">
        <v>9</v>
      </c>
      <c r="M144" s="1">
        <v>96</v>
      </c>
      <c r="N144" s="1">
        <v>10.145799999999999</v>
      </c>
      <c r="O144" s="1">
        <v>3.75</v>
      </c>
    </row>
    <row r="145" spans="10:15">
      <c r="J145" s="1" t="s">
        <v>1076</v>
      </c>
      <c r="K145" s="1">
        <v>82</v>
      </c>
      <c r="L145" s="1">
        <v>6</v>
      </c>
      <c r="M145" s="1">
        <v>95</v>
      </c>
      <c r="N145" s="1">
        <v>159.83160000000001</v>
      </c>
      <c r="O145" s="1">
        <v>63.073700000000002</v>
      </c>
    </row>
    <row r="146" spans="10:15" ht="29">
      <c r="J146" s="1" t="s">
        <v>1077</v>
      </c>
      <c r="K146" s="1">
        <v>58</v>
      </c>
      <c r="L146" s="1">
        <v>7</v>
      </c>
      <c r="M146" s="1">
        <v>94</v>
      </c>
      <c r="N146" s="1">
        <v>65.063800000000001</v>
      </c>
      <c r="O146" s="1">
        <v>14.340400000000001</v>
      </c>
    </row>
    <row r="147" spans="10:15" ht="72.5">
      <c r="J147" s="1" t="s">
        <v>1078</v>
      </c>
      <c r="K147" s="1">
        <v>78</v>
      </c>
      <c r="L147" s="1">
        <v>8</v>
      </c>
      <c r="M147" s="1">
        <v>93</v>
      </c>
      <c r="N147" s="1">
        <v>126.33329999999999</v>
      </c>
      <c r="O147" s="1">
        <v>46.032299999999999</v>
      </c>
    </row>
    <row r="148" spans="10:15" ht="29">
      <c r="J148" s="1" t="s">
        <v>1079</v>
      </c>
      <c r="K148" s="1">
        <v>69</v>
      </c>
      <c r="L148" s="1">
        <v>8</v>
      </c>
      <c r="M148" s="1">
        <v>93</v>
      </c>
      <c r="N148" s="1">
        <v>146.40860000000001</v>
      </c>
      <c r="O148" s="1">
        <v>57.204300000000003</v>
      </c>
    </row>
    <row r="149" spans="10:15" ht="43.5">
      <c r="J149" s="1" t="s">
        <v>1080</v>
      </c>
      <c r="K149" s="1">
        <v>75</v>
      </c>
      <c r="L149" s="1">
        <v>13</v>
      </c>
      <c r="M149" s="1">
        <v>91</v>
      </c>
      <c r="N149" s="1">
        <v>124.9451</v>
      </c>
      <c r="O149" s="1">
        <v>53.846200000000003</v>
      </c>
    </row>
    <row r="150" spans="10:15">
      <c r="J150" s="1" t="s">
        <v>1081</v>
      </c>
      <c r="K150" s="1">
        <v>84</v>
      </c>
      <c r="L150" s="1">
        <v>9</v>
      </c>
      <c r="M150" s="1">
        <v>90</v>
      </c>
      <c r="N150" s="1">
        <v>141.17779999999999</v>
      </c>
      <c r="O150" s="1">
        <v>58.277799999999999</v>
      </c>
    </row>
    <row r="151" spans="10:15" ht="29">
      <c r="J151" s="1" t="s">
        <v>1082</v>
      </c>
      <c r="K151" s="1">
        <v>79</v>
      </c>
      <c r="L151" s="1">
        <v>5</v>
      </c>
      <c r="M151" s="1">
        <v>89</v>
      </c>
      <c r="N151" s="1">
        <v>164.0787</v>
      </c>
      <c r="O151" s="1">
        <v>63.033700000000003</v>
      </c>
    </row>
    <row r="152" spans="10:15" ht="29">
      <c r="J152" s="1" t="s">
        <v>1083</v>
      </c>
      <c r="K152" s="1">
        <v>74</v>
      </c>
      <c r="L152" s="1">
        <v>6</v>
      </c>
      <c r="M152" s="1">
        <v>89</v>
      </c>
      <c r="N152" s="1">
        <v>159</v>
      </c>
      <c r="O152" s="1">
        <v>60.022500000000001</v>
      </c>
    </row>
    <row r="153" spans="10:15">
      <c r="J153" s="1" t="s">
        <v>1084</v>
      </c>
      <c r="K153" s="1">
        <v>83</v>
      </c>
      <c r="L153" s="1">
        <v>7</v>
      </c>
      <c r="M153" s="1">
        <v>88</v>
      </c>
      <c r="N153" s="1">
        <v>125.1932</v>
      </c>
      <c r="O153" s="1">
        <v>40.840899999999998</v>
      </c>
    </row>
    <row r="154" spans="10:15">
      <c r="J154" s="1" t="s">
        <v>1085</v>
      </c>
      <c r="K154" s="1">
        <v>71</v>
      </c>
      <c r="L154" s="1">
        <v>5</v>
      </c>
      <c r="M154" s="1">
        <v>87</v>
      </c>
      <c r="N154" s="1">
        <v>152.5977</v>
      </c>
      <c r="O154" s="1">
        <v>60.252899999999997</v>
      </c>
    </row>
    <row r="155" spans="10:15" ht="29">
      <c r="J155" s="1" t="s">
        <v>1086</v>
      </c>
      <c r="K155" s="1">
        <v>59</v>
      </c>
      <c r="L155" s="1">
        <v>5</v>
      </c>
      <c r="M155" s="1">
        <v>81</v>
      </c>
      <c r="N155" s="1">
        <v>161.77780000000001</v>
      </c>
      <c r="O155" s="1">
        <v>67.592600000000004</v>
      </c>
    </row>
    <row r="156" spans="10:15">
      <c r="J156" s="1" t="s">
        <v>1087</v>
      </c>
      <c r="K156" s="1">
        <v>73</v>
      </c>
      <c r="L156" s="1">
        <v>12</v>
      </c>
      <c r="M156" s="1">
        <v>80</v>
      </c>
      <c r="N156" s="1">
        <v>151.375</v>
      </c>
      <c r="O156" s="1">
        <v>59.837499999999999</v>
      </c>
    </row>
    <row r="157" spans="10:15" ht="29">
      <c r="J157" s="1" t="s">
        <v>1088</v>
      </c>
      <c r="K157" s="1">
        <v>73</v>
      </c>
      <c r="L157" s="1">
        <v>6</v>
      </c>
      <c r="M157" s="1">
        <v>78</v>
      </c>
      <c r="N157" s="1">
        <v>118.1026</v>
      </c>
      <c r="O157" s="1">
        <v>47.666699999999999</v>
      </c>
    </row>
    <row r="158" spans="10:15">
      <c r="J158" s="1" t="s">
        <v>1089</v>
      </c>
      <c r="K158" s="1">
        <v>66</v>
      </c>
      <c r="L158" s="1">
        <v>8</v>
      </c>
      <c r="M158" s="1">
        <v>78</v>
      </c>
      <c r="N158" s="1">
        <v>143.88460000000001</v>
      </c>
      <c r="O158" s="1">
        <v>63.089700000000001</v>
      </c>
    </row>
    <row r="159" spans="10:15">
      <c r="J159" s="1" t="s">
        <v>1090</v>
      </c>
      <c r="K159" s="1">
        <v>62</v>
      </c>
      <c r="L159" s="1">
        <v>7</v>
      </c>
      <c r="M159" s="1">
        <v>77</v>
      </c>
      <c r="N159" s="1">
        <v>159.3896</v>
      </c>
      <c r="O159" s="1">
        <v>59.584400000000002</v>
      </c>
    </row>
    <row r="160" spans="10:15">
      <c r="J160" s="1" t="s">
        <v>1091</v>
      </c>
      <c r="K160" s="1">
        <v>62</v>
      </c>
      <c r="L160" s="1">
        <v>7</v>
      </c>
      <c r="M160" s="1">
        <v>76</v>
      </c>
      <c r="N160" s="1">
        <v>170.44739999999999</v>
      </c>
      <c r="O160" s="1">
        <v>66.5</v>
      </c>
    </row>
    <row r="161" spans="10:15">
      <c r="J161" s="1" t="s">
        <v>1092</v>
      </c>
      <c r="K161" s="1">
        <v>52</v>
      </c>
      <c r="L161" s="1">
        <v>2</v>
      </c>
      <c r="M161" s="1">
        <v>74</v>
      </c>
      <c r="N161" s="1">
        <v>131.33779999999999</v>
      </c>
      <c r="O161" s="1">
        <v>49.027000000000001</v>
      </c>
    </row>
    <row r="162" spans="10:15">
      <c r="J162" s="1" t="s">
        <v>1093</v>
      </c>
      <c r="K162" s="1">
        <v>63</v>
      </c>
      <c r="L162" s="1">
        <v>11</v>
      </c>
      <c r="M162" s="1">
        <v>70</v>
      </c>
      <c r="N162" s="1">
        <v>162.1</v>
      </c>
      <c r="O162" s="1">
        <v>70.685699999999997</v>
      </c>
    </row>
    <row r="163" spans="10:15">
      <c r="J163" s="1" t="s">
        <v>1094</v>
      </c>
      <c r="K163" s="1">
        <v>66</v>
      </c>
      <c r="L163" s="1">
        <v>9</v>
      </c>
      <c r="M163" s="1">
        <v>69</v>
      </c>
      <c r="N163" s="1">
        <v>149.7681</v>
      </c>
      <c r="O163" s="1">
        <v>54.652200000000001</v>
      </c>
    </row>
    <row r="164" spans="10:15" ht="29">
      <c r="J164" s="1" t="s">
        <v>1095</v>
      </c>
      <c r="K164" s="1">
        <v>56</v>
      </c>
      <c r="L164" s="1">
        <v>5</v>
      </c>
      <c r="M164" s="1">
        <v>68</v>
      </c>
      <c r="N164" s="1">
        <v>147.35290000000001</v>
      </c>
      <c r="O164" s="1">
        <v>48.852899999999998</v>
      </c>
    </row>
    <row r="165" spans="10:15">
      <c r="J165" s="1" t="s">
        <v>1096</v>
      </c>
      <c r="K165" s="1">
        <v>51</v>
      </c>
      <c r="L165" s="1">
        <v>5</v>
      </c>
      <c r="M165" s="1">
        <v>67</v>
      </c>
      <c r="N165" s="1">
        <v>145.791</v>
      </c>
      <c r="O165" s="1">
        <v>54.2239</v>
      </c>
    </row>
    <row r="166" spans="10:15" ht="29">
      <c r="J166" s="1" t="s">
        <v>1097</v>
      </c>
      <c r="K166" s="1">
        <v>52</v>
      </c>
      <c r="L166" s="1">
        <v>7</v>
      </c>
      <c r="M166" s="1">
        <v>67</v>
      </c>
      <c r="N166" s="1">
        <v>140.80600000000001</v>
      </c>
      <c r="O166" s="1">
        <v>54.671599999999998</v>
      </c>
    </row>
    <row r="167" spans="10:15" ht="43.5">
      <c r="J167" s="1" t="s">
        <v>1098</v>
      </c>
      <c r="K167" s="1">
        <v>60</v>
      </c>
      <c r="L167" s="1">
        <v>9</v>
      </c>
      <c r="M167" s="1">
        <v>66</v>
      </c>
      <c r="N167" s="1">
        <v>127.66670000000001</v>
      </c>
      <c r="O167" s="1">
        <v>49.2273</v>
      </c>
    </row>
    <row r="168" spans="10:15">
      <c r="J168" s="1" t="s">
        <v>1099</v>
      </c>
      <c r="K168" s="1">
        <v>57</v>
      </c>
      <c r="L168" s="1">
        <v>5</v>
      </c>
      <c r="M168" s="1">
        <v>66</v>
      </c>
      <c r="N168" s="1">
        <v>129.2424</v>
      </c>
      <c r="O168" s="1">
        <v>48</v>
      </c>
    </row>
    <row r="169" spans="10:15">
      <c r="J169" s="1" t="s">
        <v>1100</v>
      </c>
      <c r="K169" s="1">
        <v>61</v>
      </c>
      <c r="L169" s="1">
        <v>10</v>
      </c>
      <c r="M169" s="1">
        <v>65</v>
      </c>
      <c r="N169" s="1">
        <v>128.64619999999999</v>
      </c>
      <c r="O169" s="1">
        <v>67.215400000000002</v>
      </c>
    </row>
    <row r="170" spans="10:15">
      <c r="J170" s="1" t="s">
        <v>1101</v>
      </c>
      <c r="K170" s="1">
        <v>60</v>
      </c>
      <c r="L170" s="1">
        <v>6</v>
      </c>
      <c r="M170" s="1">
        <v>63</v>
      </c>
      <c r="N170" s="1">
        <v>157.88890000000001</v>
      </c>
      <c r="O170" s="1">
        <v>66.745999999999995</v>
      </c>
    </row>
    <row r="171" spans="10:15">
      <c r="J171" s="1" t="s">
        <v>1102</v>
      </c>
      <c r="K171" s="1">
        <v>59</v>
      </c>
      <c r="L171" s="1">
        <v>7</v>
      </c>
      <c r="M171" s="1">
        <v>63</v>
      </c>
      <c r="N171" s="1">
        <v>158.28569999999999</v>
      </c>
      <c r="O171" s="1">
        <v>59.698399999999999</v>
      </c>
    </row>
    <row r="172" spans="10:15" ht="29">
      <c r="J172" s="1" t="s">
        <v>1103</v>
      </c>
      <c r="K172" s="1">
        <v>50</v>
      </c>
      <c r="L172" s="1">
        <v>9</v>
      </c>
      <c r="M172" s="1">
        <v>59</v>
      </c>
      <c r="N172" s="1">
        <v>149.89830000000001</v>
      </c>
      <c r="O172" s="1">
        <v>54.474600000000002</v>
      </c>
    </row>
    <row r="173" spans="10:15">
      <c r="J173" s="1" t="s">
        <v>1104</v>
      </c>
      <c r="K173" s="1">
        <v>53</v>
      </c>
      <c r="L173" s="1">
        <v>8</v>
      </c>
      <c r="M173" s="1">
        <v>58</v>
      </c>
      <c r="N173" s="1">
        <v>173.6379</v>
      </c>
      <c r="O173" s="1">
        <v>66.551699999999997</v>
      </c>
    </row>
    <row r="174" spans="10:15">
      <c r="J174" s="1" t="s">
        <v>1105</v>
      </c>
      <c r="K174" s="1">
        <v>44</v>
      </c>
      <c r="L174" s="1">
        <v>5</v>
      </c>
      <c r="M174" s="1">
        <v>58</v>
      </c>
      <c r="N174" s="1">
        <v>166.06899999999999</v>
      </c>
      <c r="O174" s="1">
        <v>62.896599999999999</v>
      </c>
    </row>
    <row r="175" spans="10:15">
      <c r="J175" s="1" t="s">
        <v>1106</v>
      </c>
      <c r="K175" s="1">
        <v>42</v>
      </c>
      <c r="L175" s="1">
        <v>5</v>
      </c>
      <c r="M175" s="1">
        <v>57</v>
      </c>
      <c r="N175" s="1">
        <v>130.73679999999999</v>
      </c>
      <c r="O175" s="1">
        <v>52.122799999999998</v>
      </c>
    </row>
    <row r="176" spans="10:15">
      <c r="J176" s="1" t="s">
        <v>1107</v>
      </c>
      <c r="K176" s="1">
        <v>51</v>
      </c>
      <c r="L176" s="1">
        <v>11</v>
      </c>
      <c r="M176" s="1">
        <v>57</v>
      </c>
      <c r="N176" s="1">
        <v>154.3509</v>
      </c>
      <c r="O176" s="1">
        <v>59.561399999999999</v>
      </c>
    </row>
    <row r="177" spans="10:15" ht="29">
      <c r="J177" s="1" t="s">
        <v>1108</v>
      </c>
      <c r="K177" s="1">
        <v>56</v>
      </c>
      <c r="L177" s="1">
        <v>8</v>
      </c>
      <c r="M177" s="1">
        <v>57</v>
      </c>
      <c r="N177" s="1">
        <v>170.7193</v>
      </c>
      <c r="O177" s="1">
        <v>70.456100000000006</v>
      </c>
    </row>
    <row r="178" spans="10:15" ht="29">
      <c r="J178" s="1" t="s">
        <v>1109</v>
      </c>
      <c r="K178" s="1">
        <v>43</v>
      </c>
      <c r="L178" s="1">
        <v>6</v>
      </c>
      <c r="M178" s="1">
        <v>55</v>
      </c>
      <c r="N178" s="1">
        <v>145.03639999999999</v>
      </c>
      <c r="O178" s="1">
        <v>53.527299999999997</v>
      </c>
    </row>
    <row r="179" spans="10:15">
      <c r="J179" s="1" t="s">
        <v>1110</v>
      </c>
      <c r="K179" s="1">
        <v>53</v>
      </c>
      <c r="L179" s="1">
        <v>7</v>
      </c>
      <c r="M179" s="1">
        <v>54</v>
      </c>
      <c r="N179" s="1">
        <v>157.18520000000001</v>
      </c>
      <c r="O179" s="1">
        <v>54.592599999999997</v>
      </c>
    </row>
    <row r="180" spans="10:15">
      <c r="J180" s="1" t="s">
        <v>1111</v>
      </c>
      <c r="K180" s="1">
        <v>47</v>
      </c>
      <c r="L180" s="1">
        <v>4</v>
      </c>
      <c r="M180" s="1">
        <v>52</v>
      </c>
      <c r="N180" s="1">
        <v>113.25</v>
      </c>
      <c r="O180" s="1">
        <v>41.75</v>
      </c>
    </row>
    <row r="181" spans="10:15">
      <c r="J181" s="1" t="s">
        <v>1112</v>
      </c>
      <c r="K181" s="1">
        <v>48</v>
      </c>
      <c r="L181" s="1">
        <v>4</v>
      </c>
      <c r="M181" s="1">
        <v>50</v>
      </c>
      <c r="N181" s="1">
        <v>126.12</v>
      </c>
      <c r="O181" s="1">
        <v>48.62</v>
      </c>
    </row>
    <row r="182" spans="10:15" ht="29">
      <c r="J182" s="1" t="s">
        <v>1113</v>
      </c>
      <c r="K182" s="1">
        <v>37</v>
      </c>
      <c r="L182" s="1">
        <v>7</v>
      </c>
      <c r="M182" s="1">
        <v>50</v>
      </c>
      <c r="N182" s="1">
        <v>119.38</v>
      </c>
      <c r="O182" s="1">
        <v>42.34</v>
      </c>
    </row>
    <row r="183" spans="10:15">
      <c r="J183" s="1" t="s">
        <v>1114</v>
      </c>
      <c r="K183" s="1">
        <v>43</v>
      </c>
      <c r="L183" s="1">
        <v>6</v>
      </c>
      <c r="M183" s="1">
        <v>49</v>
      </c>
      <c r="N183" s="1">
        <v>152.7347</v>
      </c>
      <c r="O183" s="1">
        <v>61.551000000000002</v>
      </c>
    </row>
    <row r="184" spans="10:15">
      <c r="J184" s="1" t="s">
        <v>1115</v>
      </c>
      <c r="K184" s="1">
        <v>41</v>
      </c>
      <c r="L184" s="1">
        <v>3</v>
      </c>
      <c r="M184" s="1">
        <v>49</v>
      </c>
      <c r="N184" s="1">
        <v>140.3673</v>
      </c>
      <c r="O184" s="1">
        <v>47.122399999999999</v>
      </c>
    </row>
    <row r="185" spans="10:15">
      <c r="J185" s="1" t="s">
        <v>1116</v>
      </c>
      <c r="K185" s="1">
        <v>44</v>
      </c>
      <c r="L185" s="1">
        <v>8</v>
      </c>
      <c r="M185" s="1">
        <v>46</v>
      </c>
      <c r="N185" s="1">
        <v>140.3261</v>
      </c>
      <c r="O185" s="1">
        <v>80.956500000000005</v>
      </c>
    </row>
    <row r="186" spans="10:15" ht="43.5">
      <c r="J186" s="1" t="s">
        <v>1117</v>
      </c>
      <c r="K186" s="1">
        <v>35</v>
      </c>
      <c r="L186" s="1">
        <v>5</v>
      </c>
      <c r="M186" s="1">
        <v>45</v>
      </c>
      <c r="N186" s="1">
        <v>150.84440000000001</v>
      </c>
      <c r="O186" s="1">
        <v>65.599999999999994</v>
      </c>
    </row>
    <row r="187" spans="10:15">
      <c r="J187" s="1" t="s">
        <v>1118</v>
      </c>
      <c r="K187" s="1">
        <v>40</v>
      </c>
      <c r="L187" s="1">
        <v>10</v>
      </c>
      <c r="M187" s="1">
        <v>44</v>
      </c>
      <c r="N187" s="1">
        <v>169.0455</v>
      </c>
      <c r="O187" s="1">
        <v>69.204499999999996</v>
      </c>
    </row>
    <row r="188" spans="10:15">
      <c r="J188" s="1" t="s">
        <v>1119</v>
      </c>
      <c r="K188" s="1">
        <v>41</v>
      </c>
      <c r="L188" s="1">
        <v>2</v>
      </c>
      <c r="M188" s="1">
        <v>43</v>
      </c>
      <c r="N188" s="1">
        <v>146.23259999999999</v>
      </c>
      <c r="O188" s="1">
        <v>48.232599999999998</v>
      </c>
    </row>
    <row r="189" spans="10:15">
      <c r="J189" s="1" t="s">
        <v>1120</v>
      </c>
      <c r="K189" s="1">
        <v>41</v>
      </c>
      <c r="L189" s="1">
        <v>8</v>
      </c>
      <c r="M189" s="1">
        <v>42</v>
      </c>
      <c r="N189" s="1">
        <v>118.97620000000001</v>
      </c>
      <c r="O189" s="1">
        <v>55.976199999999999</v>
      </c>
    </row>
    <row r="190" spans="10:15" ht="29">
      <c r="J190" s="1" t="s">
        <v>1121</v>
      </c>
      <c r="K190" s="1">
        <v>36</v>
      </c>
      <c r="L190" s="1">
        <v>2</v>
      </c>
      <c r="M190" s="1">
        <v>42</v>
      </c>
      <c r="N190" s="1">
        <v>96.952399999999997</v>
      </c>
      <c r="O190" s="1">
        <v>36.547600000000003</v>
      </c>
    </row>
    <row r="191" spans="10:15" ht="58">
      <c r="J191" s="1" t="s">
        <v>157</v>
      </c>
      <c r="K191" s="1">
        <v>28</v>
      </c>
      <c r="L191" s="1">
        <v>1</v>
      </c>
      <c r="M191" s="1">
        <v>42</v>
      </c>
      <c r="N191" s="1">
        <v>162.69049999999999</v>
      </c>
      <c r="O191" s="1">
        <v>64.761899999999997</v>
      </c>
    </row>
    <row r="192" spans="10:15" ht="29">
      <c r="J192" s="1" t="s">
        <v>1122</v>
      </c>
      <c r="K192" s="1">
        <v>39</v>
      </c>
      <c r="L192" s="1">
        <v>5</v>
      </c>
      <c r="M192" s="1">
        <v>41</v>
      </c>
      <c r="N192" s="1">
        <v>158.82929999999999</v>
      </c>
      <c r="O192" s="1">
        <v>65.365899999999996</v>
      </c>
    </row>
    <row r="193" spans="10:15">
      <c r="J193" s="1" t="s">
        <v>1123</v>
      </c>
      <c r="K193" s="1">
        <v>37</v>
      </c>
      <c r="L193" s="1">
        <v>3</v>
      </c>
      <c r="M193" s="1">
        <v>41</v>
      </c>
      <c r="N193" s="1">
        <v>147.02440000000001</v>
      </c>
      <c r="O193" s="1">
        <v>55.170699999999997</v>
      </c>
    </row>
    <row r="194" spans="10:15" ht="29">
      <c r="J194" s="1" t="s">
        <v>1124</v>
      </c>
      <c r="K194" s="1">
        <v>34</v>
      </c>
      <c r="L194" s="1">
        <v>3</v>
      </c>
      <c r="M194" s="1">
        <v>40</v>
      </c>
      <c r="N194" s="1">
        <v>97.9</v>
      </c>
      <c r="O194" s="1">
        <v>40.674999999999997</v>
      </c>
    </row>
    <row r="195" spans="10:15">
      <c r="J195" s="1" t="s">
        <v>1125</v>
      </c>
      <c r="K195" s="1">
        <v>38</v>
      </c>
      <c r="L195" s="1">
        <v>3</v>
      </c>
      <c r="M195" s="1">
        <v>39</v>
      </c>
      <c r="N195" s="1">
        <v>168.20509999999999</v>
      </c>
      <c r="O195" s="1">
        <v>59.076900000000002</v>
      </c>
    </row>
    <row r="196" spans="10:15" ht="29">
      <c r="J196" s="1" t="s">
        <v>1126</v>
      </c>
      <c r="K196" s="1">
        <v>37</v>
      </c>
      <c r="L196" s="1">
        <v>6</v>
      </c>
      <c r="M196" s="1">
        <v>39</v>
      </c>
      <c r="N196" s="1">
        <v>162.5385</v>
      </c>
      <c r="O196" s="1">
        <v>72.128200000000007</v>
      </c>
    </row>
    <row r="197" spans="10:15" ht="29">
      <c r="J197" s="1" t="s">
        <v>1127</v>
      </c>
      <c r="K197" s="1">
        <v>37</v>
      </c>
      <c r="L197" s="1">
        <v>9</v>
      </c>
      <c r="M197" s="1">
        <v>37</v>
      </c>
      <c r="N197" s="1">
        <v>99.702699999999993</v>
      </c>
      <c r="O197" s="1">
        <v>57.081099999999999</v>
      </c>
    </row>
    <row r="198" spans="10:15">
      <c r="J198" s="1" t="s">
        <v>1128</v>
      </c>
      <c r="K198" s="1">
        <v>27</v>
      </c>
      <c r="L198" s="1">
        <v>2</v>
      </c>
      <c r="M198" s="1">
        <v>36</v>
      </c>
      <c r="N198" s="1">
        <v>134.13890000000001</v>
      </c>
      <c r="O198" s="1">
        <v>48.583300000000001</v>
      </c>
    </row>
    <row r="199" spans="10:15">
      <c r="J199" s="1" t="s">
        <v>1129</v>
      </c>
      <c r="K199" s="1">
        <v>35</v>
      </c>
      <c r="L199" s="1">
        <v>5</v>
      </c>
      <c r="M199" s="1">
        <v>36</v>
      </c>
      <c r="N199" s="1">
        <v>139.5556</v>
      </c>
      <c r="O199" s="1">
        <v>47.3889</v>
      </c>
    </row>
    <row r="200" spans="10:15" ht="58">
      <c r="J200" s="1" t="s">
        <v>1130</v>
      </c>
      <c r="K200" s="1">
        <v>22</v>
      </c>
      <c r="L200" s="1">
        <v>5</v>
      </c>
      <c r="M200" s="1">
        <v>36</v>
      </c>
      <c r="N200" s="1">
        <v>178.36109999999999</v>
      </c>
      <c r="O200" s="1">
        <v>71.944400000000002</v>
      </c>
    </row>
    <row r="201" spans="10:15">
      <c r="J201" s="1" t="s">
        <v>1131</v>
      </c>
      <c r="K201" s="1">
        <v>31</v>
      </c>
      <c r="L201" s="1">
        <v>6</v>
      </c>
      <c r="M201" s="1">
        <v>35</v>
      </c>
      <c r="N201" s="1">
        <v>149.94290000000001</v>
      </c>
      <c r="O201" s="1">
        <v>53.571399999999997</v>
      </c>
    </row>
    <row r="202" spans="10:15">
      <c r="J202" s="1" t="s">
        <v>1132</v>
      </c>
      <c r="K202" s="1">
        <v>29</v>
      </c>
      <c r="L202" s="1">
        <v>6</v>
      </c>
      <c r="M202" s="1">
        <v>32</v>
      </c>
      <c r="N202" s="1">
        <v>131.21879999999999</v>
      </c>
      <c r="O202" s="1">
        <v>46.625</v>
      </c>
    </row>
    <row r="203" spans="10:15">
      <c r="J203" s="1" t="s">
        <v>1133</v>
      </c>
      <c r="K203" s="1">
        <v>22</v>
      </c>
      <c r="L203" s="1">
        <v>5</v>
      </c>
      <c r="M203" s="1">
        <v>29</v>
      </c>
      <c r="N203" s="1">
        <v>110.96550000000001</v>
      </c>
      <c r="O203" s="1">
        <v>43.344799999999999</v>
      </c>
    </row>
    <row r="204" spans="10:15" ht="29">
      <c r="J204" s="1" t="s">
        <v>1134</v>
      </c>
      <c r="K204" s="1">
        <v>27</v>
      </c>
      <c r="L204" s="1">
        <v>3</v>
      </c>
      <c r="M204" s="1">
        <v>29</v>
      </c>
      <c r="N204" s="1">
        <v>162.82759999999999</v>
      </c>
      <c r="O204" s="1">
        <v>61</v>
      </c>
    </row>
    <row r="205" spans="10:15" ht="29">
      <c r="J205" s="1" t="s">
        <v>1135</v>
      </c>
      <c r="K205" s="1">
        <v>27</v>
      </c>
      <c r="L205" s="1">
        <v>2</v>
      </c>
      <c r="M205" s="1">
        <v>28</v>
      </c>
      <c r="N205" s="1">
        <v>167.3571</v>
      </c>
      <c r="O205" s="1">
        <v>66.785700000000006</v>
      </c>
    </row>
    <row r="206" spans="10:15">
      <c r="J206" s="1" t="s">
        <v>1136</v>
      </c>
      <c r="K206" s="1">
        <v>28</v>
      </c>
      <c r="L206" s="1">
        <v>6</v>
      </c>
      <c r="M206" s="1">
        <v>28</v>
      </c>
      <c r="N206" s="1">
        <v>100.0714</v>
      </c>
      <c r="O206" s="1">
        <v>38.392899999999997</v>
      </c>
    </row>
    <row r="207" spans="10:15">
      <c r="J207" s="1" t="s">
        <v>155</v>
      </c>
      <c r="K207" s="1">
        <v>25</v>
      </c>
      <c r="L207" s="1">
        <v>1</v>
      </c>
      <c r="M207" s="1">
        <v>28</v>
      </c>
      <c r="N207" s="1">
        <v>144.8929</v>
      </c>
      <c r="O207" s="1">
        <v>53.964300000000001</v>
      </c>
    </row>
    <row r="208" spans="10:15" ht="29">
      <c r="J208" s="1" t="s">
        <v>1137</v>
      </c>
      <c r="K208" s="1">
        <v>26</v>
      </c>
      <c r="L208" s="1">
        <v>5</v>
      </c>
      <c r="M208" s="1">
        <v>26</v>
      </c>
      <c r="N208" s="1">
        <v>155.0385</v>
      </c>
      <c r="O208" s="1">
        <v>58.5</v>
      </c>
    </row>
    <row r="209" spans="10:15" ht="29">
      <c r="J209" s="1" t="s">
        <v>1138</v>
      </c>
      <c r="K209" s="1">
        <v>25</v>
      </c>
      <c r="L209" s="1">
        <v>5</v>
      </c>
      <c r="M209" s="1">
        <v>26</v>
      </c>
      <c r="N209" s="1">
        <v>84.615399999999994</v>
      </c>
      <c r="O209" s="1">
        <v>44.730800000000002</v>
      </c>
    </row>
    <row r="210" spans="10:15">
      <c r="J210" s="1" t="s">
        <v>1139</v>
      </c>
      <c r="K210" s="1">
        <v>24</v>
      </c>
      <c r="L210" s="1">
        <v>6</v>
      </c>
      <c r="M210" s="1">
        <v>25</v>
      </c>
      <c r="N210" s="1">
        <v>158.84</v>
      </c>
      <c r="O210" s="1">
        <v>64.760000000000005</v>
      </c>
    </row>
    <row r="211" spans="10:15">
      <c r="J211" s="1" t="s">
        <v>1140</v>
      </c>
      <c r="K211" s="1">
        <v>22</v>
      </c>
      <c r="L211" s="1">
        <v>4</v>
      </c>
      <c r="M211" s="1">
        <v>22</v>
      </c>
      <c r="N211" s="1">
        <v>146.0909</v>
      </c>
      <c r="O211" s="1">
        <v>54.045499999999997</v>
      </c>
    </row>
    <row r="212" spans="10:15" ht="29">
      <c r="J212" s="1" t="s">
        <v>1141</v>
      </c>
      <c r="K212" s="1">
        <v>21</v>
      </c>
      <c r="L212" s="1">
        <v>3</v>
      </c>
      <c r="M212" s="1">
        <v>21</v>
      </c>
      <c r="N212" s="1">
        <v>161.42859999999999</v>
      </c>
      <c r="O212" s="1">
        <v>63.904800000000002</v>
      </c>
    </row>
    <row r="213" spans="10:15">
      <c r="J213" s="1" t="s">
        <v>1142</v>
      </c>
      <c r="K213" s="1">
        <v>19</v>
      </c>
      <c r="L213" s="1">
        <v>3</v>
      </c>
      <c r="M213" s="1">
        <v>19</v>
      </c>
      <c r="N213" s="1">
        <v>134.8947</v>
      </c>
      <c r="O213" s="1">
        <v>50.473700000000001</v>
      </c>
    </row>
    <row r="214" spans="10:15">
      <c r="J214" s="1" t="s">
        <v>1143</v>
      </c>
      <c r="K214" s="1">
        <v>19</v>
      </c>
      <c r="L214" s="1">
        <v>3</v>
      </c>
      <c r="M214" s="1">
        <v>19</v>
      </c>
      <c r="N214" s="1">
        <v>165.6842</v>
      </c>
      <c r="O214" s="1">
        <v>63.947400000000002</v>
      </c>
    </row>
    <row r="215" spans="10:15" ht="29">
      <c r="J215" s="1" t="s">
        <v>1144</v>
      </c>
      <c r="K215" s="1">
        <v>18</v>
      </c>
      <c r="L215" s="1">
        <v>5</v>
      </c>
      <c r="M215" s="1">
        <v>18</v>
      </c>
      <c r="N215" s="1">
        <v>175.88890000000001</v>
      </c>
      <c r="O215" s="1">
        <v>62.944400000000002</v>
      </c>
    </row>
    <row r="216" spans="10:15" ht="58">
      <c r="J216" s="1" t="s">
        <v>1145</v>
      </c>
      <c r="K216" s="1">
        <v>16</v>
      </c>
      <c r="L216" s="1">
        <v>2</v>
      </c>
      <c r="M216" s="1">
        <v>17</v>
      </c>
      <c r="N216" s="1">
        <v>173.35290000000001</v>
      </c>
      <c r="O216" s="1">
        <v>64.2941</v>
      </c>
    </row>
    <row r="217" spans="10:15" ht="29">
      <c r="J217" s="1" t="s">
        <v>1146</v>
      </c>
      <c r="K217" s="1">
        <v>14</v>
      </c>
      <c r="L217" s="1">
        <v>4</v>
      </c>
      <c r="M217" s="1">
        <v>14</v>
      </c>
      <c r="N217" s="1">
        <v>156.5</v>
      </c>
      <c r="O217" s="1">
        <v>65.285700000000006</v>
      </c>
    </row>
    <row r="218" spans="10:15">
      <c r="J218" s="1" t="s">
        <v>1147</v>
      </c>
      <c r="K218" s="1">
        <v>14</v>
      </c>
      <c r="L218" s="1">
        <v>2</v>
      </c>
      <c r="M218" s="1">
        <v>14</v>
      </c>
      <c r="N218" s="1">
        <v>142.78569999999999</v>
      </c>
      <c r="O218" s="1">
        <v>93.428600000000003</v>
      </c>
    </row>
    <row r="219" spans="10:15" ht="58">
      <c r="J219" s="1" t="s">
        <v>1148</v>
      </c>
      <c r="K219" s="1">
        <v>11</v>
      </c>
      <c r="L219" s="1">
        <v>5</v>
      </c>
      <c r="M219" s="1">
        <v>13</v>
      </c>
      <c r="N219" s="1">
        <v>170.76920000000001</v>
      </c>
      <c r="O219" s="1">
        <v>67.384600000000006</v>
      </c>
    </row>
    <row r="220" spans="10:15" ht="43.5">
      <c r="J220" s="1" t="s">
        <v>1149</v>
      </c>
      <c r="K220" s="1">
        <v>10</v>
      </c>
      <c r="L220" s="1">
        <v>3</v>
      </c>
      <c r="M220" s="1">
        <v>12</v>
      </c>
      <c r="N220" s="1">
        <v>169.91669999999999</v>
      </c>
      <c r="O220" s="1">
        <v>63.416699999999999</v>
      </c>
    </row>
    <row r="221" spans="10:15">
      <c r="J221" s="1" t="s">
        <v>1150</v>
      </c>
      <c r="K221" s="1">
        <v>11</v>
      </c>
      <c r="L221" s="1">
        <v>2</v>
      </c>
      <c r="M221" s="1">
        <v>11</v>
      </c>
      <c r="N221" s="1">
        <v>166.9091</v>
      </c>
      <c r="O221" s="1">
        <v>78.363600000000005</v>
      </c>
    </row>
    <row r="222" spans="10:15" ht="29">
      <c r="J222" s="1" t="s">
        <v>1151</v>
      </c>
      <c r="K222" s="1">
        <v>10</v>
      </c>
      <c r="L222" s="1">
        <v>3</v>
      </c>
      <c r="M222" s="1">
        <v>11</v>
      </c>
      <c r="N222" s="1">
        <v>152.18180000000001</v>
      </c>
      <c r="O222" s="1">
        <v>59.636400000000002</v>
      </c>
    </row>
    <row r="223" spans="10:15">
      <c r="J223" s="1" t="s">
        <v>1152</v>
      </c>
      <c r="K223" s="1">
        <v>10</v>
      </c>
      <c r="L223" s="1">
        <v>4</v>
      </c>
      <c r="M223" s="1">
        <v>10</v>
      </c>
      <c r="N223" s="1">
        <v>149.5</v>
      </c>
      <c r="O223" s="1">
        <v>59.4</v>
      </c>
    </row>
    <row r="224" spans="10:15" ht="29">
      <c r="J224" s="1" t="s">
        <v>1153</v>
      </c>
      <c r="K224" s="1">
        <v>10</v>
      </c>
      <c r="L224" s="1">
        <v>3</v>
      </c>
      <c r="M224" s="1">
        <v>10</v>
      </c>
      <c r="N224" s="1">
        <v>160.1</v>
      </c>
      <c r="O224" s="1">
        <v>37.6</v>
      </c>
    </row>
    <row r="225" spans="10:15">
      <c r="J225" s="1" t="s">
        <v>1154</v>
      </c>
      <c r="K225" s="1">
        <v>9</v>
      </c>
      <c r="L225" s="1">
        <v>5</v>
      </c>
      <c r="M225" s="1">
        <v>9</v>
      </c>
      <c r="N225" s="1">
        <v>172.22219999999999</v>
      </c>
      <c r="O225" s="1">
        <v>62.555599999999998</v>
      </c>
    </row>
    <row r="226" spans="10:15">
      <c r="J226" s="1" t="s">
        <v>1155</v>
      </c>
      <c r="K226" s="1">
        <v>7</v>
      </c>
      <c r="L226" s="1">
        <v>2</v>
      </c>
      <c r="M226" s="1">
        <v>7</v>
      </c>
      <c r="N226" s="1">
        <v>94.714299999999994</v>
      </c>
      <c r="O226" s="1">
        <v>52.714300000000001</v>
      </c>
    </row>
    <row r="227" spans="10:15" ht="29">
      <c r="J227" s="1" t="s">
        <v>1156</v>
      </c>
      <c r="K227" s="1">
        <v>5</v>
      </c>
      <c r="L227" s="1">
        <v>2</v>
      </c>
      <c r="M227" s="1">
        <v>5</v>
      </c>
      <c r="N227" s="1">
        <v>70</v>
      </c>
      <c r="O227" s="1">
        <v>38</v>
      </c>
    </row>
    <row r="228" spans="10:15" ht="29">
      <c r="J228" s="1" t="s">
        <v>156</v>
      </c>
      <c r="K228" s="1">
        <v>4</v>
      </c>
      <c r="L228" s="1">
        <v>1</v>
      </c>
      <c r="M228" s="1">
        <v>4</v>
      </c>
      <c r="N228" s="1">
        <v>175</v>
      </c>
      <c r="O228" s="1">
        <v>62.5</v>
      </c>
    </row>
    <row r="229" spans="10:15" ht="29">
      <c r="J229" s="1" t="s">
        <v>153</v>
      </c>
      <c r="K229" s="1">
        <v>2</v>
      </c>
      <c r="L229" s="1">
        <v>1</v>
      </c>
      <c r="M229" s="1">
        <v>2</v>
      </c>
      <c r="N229" s="1">
        <v>170</v>
      </c>
      <c r="O229" s="1">
        <v>57</v>
      </c>
    </row>
    <row r="230" spans="10:15" ht="29">
      <c r="J230" s="1" t="s">
        <v>154</v>
      </c>
      <c r="K230" s="1">
        <v>2</v>
      </c>
      <c r="L230" s="1">
        <v>1</v>
      </c>
      <c r="M230" s="1">
        <v>2</v>
      </c>
      <c r="N230" s="1">
        <v>0</v>
      </c>
      <c r="O230" s="1">
        <v>0</v>
      </c>
    </row>
  </sheetData>
  <mergeCells count="3">
    <mergeCell ref="B2:I3"/>
    <mergeCell ref="B5:I21"/>
    <mergeCell ref="B23:I32"/>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AB6B8-1340-4C8E-9237-E2F619EC4117}">
  <dimension ref="B2:N52"/>
  <sheetViews>
    <sheetView workbookViewId="0">
      <selection activeCell="B21" sqref="B21:I28"/>
    </sheetView>
  </sheetViews>
  <sheetFormatPr defaultRowHeight="14.5"/>
  <cols>
    <col min="11" max="11" width="13.81640625" customWidth="1"/>
    <col min="12" max="12" width="13.26953125" customWidth="1"/>
    <col min="13" max="13" width="18.26953125" customWidth="1"/>
    <col min="14" max="14" width="14.26953125" customWidth="1"/>
  </cols>
  <sheetData>
    <row r="2" spans="2:14">
      <c r="B2" s="35" t="s">
        <v>1161</v>
      </c>
      <c r="C2" s="35"/>
      <c r="D2" s="35"/>
      <c r="E2" s="35"/>
      <c r="F2" s="35"/>
      <c r="G2" s="35"/>
      <c r="H2" s="35"/>
      <c r="I2" s="35"/>
      <c r="K2" t="s">
        <v>158</v>
      </c>
      <c r="L2" t="s">
        <v>1163</v>
      </c>
      <c r="M2" t="s">
        <v>1164</v>
      </c>
      <c r="N2" t="s">
        <v>939</v>
      </c>
    </row>
    <row r="3" spans="2:14">
      <c r="B3" s="35"/>
      <c r="C3" s="35"/>
      <c r="D3" s="35"/>
      <c r="E3" s="35"/>
      <c r="F3" s="35"/>
      <c r="G3" s="35"/>
      <c r="H3" s="35"/>
      <c r="I3" s="35"/>
      <c r="K3" s="1" t="s">
        <v>930</v>
      </c>
      <c r="L3" s="1">
        <v>1992</v>
      </c>
      <c r="M3" s="1">
        <v>685</v>
      </c>
      <c r="N3" s="1">
        <v>957</v>
      </c>
    </row>
    <row r="4" spans="2:14">
      <c r="K4" s="1" t="s">
        <v>930</v>
      </c>
      <c r="L4" s="1">
        <v>1988</v>
      </c>
      <c r="M4" s="1">
        <v>624</v>
      </c>
      <c r="N4" s="1">
        <v>886</v>
      </c>
    </row>
    <row r="5" spans="2:14">
      <c r="B5" s="53" t="s">
        <v>1162</v>
      </c>
      <c r="C5" s="53"/>
      <c r="D5" s="53"/>
      <c r="E5" s="53"/>
      <c r="F5" s="53"/>
      <c r="G5" s="53"/>
      <c r="H5" s="53"/>
      <c r="I5" s="53"/>
      <c r="K5" s="1" t="s">
        <v>930</v>
      </c>
      <c r="L5" s="1">
        <v>1904</v>
      </c>
      <c r="M5" s="1">
        <v>414</v>
      </c>
      <c r="N5" s="1">
        <v>882</v>
      </c>
    </row>
    <row r="6" spans="2:14">
      <c r="B6" s="53"/>
      <c r="C6" s="53"/>
      <c r="D6" s="53"/>
      <c r="E6" s="53"/>
      <c r="F6" s="53"/>
      <c r="G6" s="53"/>
      <c r="H6" s="53"/>
      <c r="I6" s="53"/>
      <c r="K6" s="1" t="s">
        <v>944</v>
      </c>
      <c r="L6" s="1">
        <v>1992</v>
      </c>
      <c r="M6" s="1">
        <v>581</v>
      </c>
      <c r="N6" s="1">
        <v>866</v>
      </c>
    </row>
    <row r="7" spans="2:14">
      <c r="B7" s="53"/>
      <c r="C7" s="53"/>
      <c r="D7" s="53"/>
      <c r="E7" s="53"/>
      <c r="F7" s="53"/>
      <c r="G7" s="53"/>
      <c r="H7" s="53"/>
      <c r="I7" s="53"/>
      <c r="K7" s="1" t="s">
        <v>973</v>
      </c>
      <c r="L7" s="1">
        <v>1992</v>
      </c>
      <c r="M7" s="1">
        <v>601</v>
      </c>
      <c r="N7" s="1">
        <v>861</v>
      </c>
    </row>
    <row r="8" spans="2:14">
      <c r="B8" s="53"/>
      <c r="C8" s="53"/>
      <c r="D8" s="53"/>
      <c r="E8" s="53"/>
      <c r="F8" s="53"/>
      <c r="G8" s="53"/>
      <c r="H8" s="53"/>
      <c r="I8" s="53"/>
      <c r="K8" s="1" t="s">
        <v>930</v>
      </c>
      <c r="L8" s="1">
        <v>1996</v>
      </c>
      <c r="M8" s="1">
        <v>646</v>
      </c>
      <c r="N8" s="1">
        <v>834</v>
      </c>
    </row>
    <row r="9" spans="2:14">
      <c r="B9" s="53"/>
      <c r="C9" s="53"/>
      <c r="D9" s="53"/>
      <c r="E9" s="53"/>
      <c r="F9" s="53"/>
      <c r="G9" s="53"/>
      <c r="H9" s="53"/>
      <c r="I9" s="53"/>
      <c r="K9" s="1" t="s">
        <v>930</v>
      </c>
      <c r="L9" s="1">
        <v>1984</v>
      </c>
      <c r="M9" s="1">
        <v>613</v>
      </c>
      <c r="N9" s="1">
        <v>824</v>
      </c>
    </row>
    <row r="10" spans="2:14">
      <c r="B10" s="53"/>
      <c r="C10" s="53"/>
      <c r="D10" s="53"/>
      <c r="E10" s="53"/>
      <c r="F10" s="53"/>
      <c r="G10" s="53"/>
      <c r="H10" s="53"/>
      <c r="I10" s="53"/>
      <c r="K10" s="1" t="s">
        <v>950</v>
      </c>
      <c r="L10" s="1">
        <v>1988</v>
      </c>
      <c r="M10" s="1">
        <v>581</v>
      </c>
      <c r="N10" s="1">
        <v>798</v>
      </c>
    </row>
    <row r="11" spans="2:14">
      <c r="B11" s="53"/>
      <c r="C11" s="53"/>
      <c r="D11" s="53"/>
      <c r="E11" s="53"/>
      <c r="F11" s="53"/>
      <c r="G11" s="53"/>
      <c r="H11" s="53"/>
      <c r="I11" s="53"/>
      <c r="K11" s="1" t="s">
        <v>947</v>
      </c>
      <c r="L11" s="1">
        <v>2000</v>
      </c>
      <c r="M11" s="1">
        <v>620</v>
      </c>
      <c r="N11" s="1">
        <v>793</v>
      </c>
    </row>
    <row r="12" spans="2:14">
      <c r="B12" s="53"/>
      <c r="C12" s="53"/>
      <c r="D12" s="53"/>
      <c r="E12" s="53"/>
      <c r="F12" s="53"/>
      <c r="G12" s="53"/>
      <c r="H12" s="53"/>
      <c r="I12" s="53"/>
      <c r="K12" s="1" t="s">
        <v>950</v>
      </c>
      <c r="L12" s="1">
        <v>1980</v>
      </c>
      <c r="M12" s="1">
        <v>575</v>
      </c>
      <c r="N12" s="1">
        <v>789</v>
      </c>
    </row>
    <row r="13" spans="2:14">
      <c r="B13" s="53"/>
      <c r="C13" s="53"/>
      <c r="D13" s="53"/>
      <c r="E13" s="53"/>
      <c r="F13" s="53"/>
      <c r="G13" s="53"/>
      <c r="H13" s="53"/>
      <c r="I13" s="53"/>
      <c r="K13" s="1" t="s">
        <v>930</v>
      </c>
      <c r="L13" s="1">
        <v>2000</v>
      </c>
      <c r="M13" s="1">
        <v>593</v>
      </c>
      <c r="N13" s="1">
        <v>773</v>
      </c>
    </row>
    <row r="14" spans="2:14">
      <c r="B14" s="53"/>
      <c r="C14" s="53"/>
      <c r="D14" s="53"/>
      <c r="E14" s="53"/>
      <c r="F14" s="53"/>
      <c r="G14" s="53"/>
      <c r="H14" s="53"/>
      <c r="I14" s="53"/>
      <c r="K14" s="1" t="s">
        <v>930</v>
      </c>
      <c r="L14" s="1">
        <v>1932</v>
      </c>
      <c r="M14" s="1">
        <v>500</v>
      </c>
      <c r="N14" s="1">
        <v>765</v>
      </c>
    </row>
    <row r="15" spans="2:14">
      <c r="B15" s="53"/>
      <c r="C15" s="53"/>
      <c r="D15" s="53"/>
      <c r="E15" s="53"/>
      <c r="F15" s="53"/>
      <c r="G15" s="53"/>
      <c r="H15" s="53"/>
      <c r="I15" s="53"/>
      <c r="K15" s="1" t="s">
        <v>930</v>
      </c>
      <c r="L15" s="1">
        <v>2008</v>
      </c>
      <c r="M15" s="1">
        <v>589</v>
      </c>
      <c r="N15" s="1">
        <v>764</v>
      </c>
    </row>
    <row r="16" spans="2:14">
      <c r="B16" s="53"/>
      <c r="C16" s="53"/>
      <c r="D16" s="53"/>
      <c r="E16" s="53"/>
      <c r="F16" s="53"/>
      <c r="G16" s="53"/>
      <c r="H16" s="53"/>
      <c r="I16" s="53"/>
      <c r="K16" s="1" t="s">
        <v>953</v>
      </c>
      <c r="L16" s="1">
        <v>2008</v>
      </c>
      <c r="M16" s="1">
        <v>601</v>
      </c>
      <c r="N16" s="1">
        <v>733</v>
      </c>
    </row>
    <row r="17" spans="2:14">
      <c r="B17" s="53"/>
      <c r="C17" s="53"/>
      <c r="D17" s="53"/>
      <c r="E17" s="53"/>
      <c r="F17" s="53"/>
      <c r="G17" s="53"/>
      <c r="H17" s="53"/>
      <c r="I17" s="53"/>
      <c r="K17" s="1" t="s">
        <v>930</v>
      </c>
      <c r="L17" s="1">
        <v>2004</v>
      </c>
      <c r="M17" s="1">
        <v>536</v>
      </c>
      <c r="N17" s="1">
        <v>730</v>
      </c>
    </row>
    <row r="18" spans="2:14">
      <c r="B18" s="53"/>
      <c r="C18" s="53"/>
      <c r="D18" s="53"/>
      <c r="E18" s="53"/>
      <c r="F18" s="53"/>
      <c r="G18" s="53"/>
      <c r="H18" s="53"/>
      <c r="I18" s="53"/>
      <c r="K18" s="1" t="s">
        <v>930</v>
      </c>
      <c r="L18" s="1">
        <v>2016</v>
      </c>
      <c r="M18" s="1">
        <v>554</v>
      </c>
      <c r="N18" s="1">
        <v>718</v>
      </c>
    </row>
    <row r="19" spans="2:14">
      <c r="B19" s="53"/>
      <c r="C19" s="53"/>
      <c r="D19" s="53"/>
      <c r="E19" s="53"/>
      <c r="F19" s="53"/>
      <c r="G19" s="53"/>
      <c r="H19" s="53"/>
      <c r="I19" s="53"/>
      <c r="K19" s="1" t="s">
        <v>929</v>
      </c>
      <c r="L19" s="1">
        <v>1912</v>
      </c>
      <c r="M19" s="1">
        <v>443</v>
      </c>
      <c r="N19" s="1">
        <v>713</v>
      </c>
    </row>
    <row r="20" spans="2:14">
      <c r="K20" s="1" t="s">
        <v>958</v>
      </c>
      <c r="L20" s="1">
        <v>1972</v>
      </c>
      <c r="M20" s="1">
        <v>502</v>
      </c>
      <c r="N20" s="1">
        <v>708</v>
      </c>
    </row>
    <row r="21" spans="2:14">
      <c r="B21" s="54" t="s">
        <v>1165</v>
      </c>
      <c r="C21" s="54"/>
      <c r="D21" s="54"/>
      <c r="E21" s="54"/>
      <c r="F21" s="54"/>
      <c r="G21" s="54"/>
      <c r="H21" s="54"/>
      <c r="I21" s="54"/>
      <c r="K21" s="1" t="s">
        <v>950</v>
      </c>
      <c r="L21" s="1">
        <v>1976</v>
      </c>
      <c r="M21" s="1">
        <v>489</v>
      </c>
      <c r="N21" s="1">
        <v>695</v>
      </c>
    </row>
    <row r="22" spans="2:14">
      <c r="B22" s="54"/>
      <c r="C22" s="54"/>
      <c r="D22" s="54"/>
      <c r="E22" s="54"/>
      <c r="F22" s="54"/>
      <c r="G22" s="54"/>
      <c r="H22" s="54"/>
      <c r="I22" s="54"/>
      <c r="K22" s="1" t="s">
        <v>931</v>
      </c>
      <c r="L22" s="1">
        <v>1988</v>
      </c>
      <c r="M22" s="1">
        <v>440</v>
      </c>
      <c r="N22" s="1">
        <v>694</v>
      </c>
    </row>
    <row r="23" spans="2:14">
      <c r="B23" s="54"/>
      <c r="C23" s="54"/>
      <c r="D23" s="54"/>
      <c r="E23" s="54"/>
      <c r="F23" s="54"/>
      <c r="G23" s="54"/>
      <c r="H23" s="54"/>
      <c r="I23" s="54"/>
      <c r="K23" s="1" t="s">
        <v>958</v>
      </c>
      <c r="L23" s="1">
        <v>1984</v>
      </c>
      <c r="M23" s="1">
        <v>474</v>
      </c>
      <c r="N23" s="1">
        <v>691</v>
      </c>
    </row>
    <row r="24" spans="2:14">
      <c r="B24" s="54"/>
      <c r="C24" s="54"/>
      <c r="D24" s="54"/>
      <c r="E24" s="54"/>
      <c r="F24" s="54"/>
      <c r="G24" s="54"/>
      <c r="H24" s="54"/>
      <c r="I24" s="54"/>
      <c r="K24" s="1" t="s">
        <v>934</v>
      </c>
      <c r="L24" s="1">
        <v>2012</v>
      </c>
      <c r="M24" s="1">
        <v>532</v>
      </c>
      <c r="N24" s="1">
        <v>688</v>
      </c>
    </row>
    <row r="25" spans="2:14">
      <c r="B25" s="54"/>
      <c r="C25" s="54"/>
      <c r="D25" s="54"/>
      <c r="E25" s="54"/>
      <c r="F25" s="54"/>
      <c r="G25" s="54"/>
      <c r="H25" s="54"/>
      <c r="I25" s="54"/>
      <c r="K25" s="1" t="s">
        <v>930</v>
      </c>
      <c r="L25" s="1">
        <v>2012</v>
      </c>
      <c r="M25" s="1">
        <v>528</v>
      </c>
      <c r="N25" s="1">
        <v>686</v>
      </c>
    </row>
    <row r="26" spans="2:14">
      <c r="B26" s="54"/>
      <c r="C26" s="54"/>
      <c r="D26" s="54"/>
      <c r="E26" s="54"/>
      <c r="F26" s="54"/>
      <c r="G26" s="54"/>
      <c r="H26" s="54"/>
      <c r="I26" s="54"/>
      <c r="K26" s="1" t="s">
        <v>930</v>
      </c>
      <c r="L26" s="1">
        <v>1976</v>
      </c>
      <c r="M26" s="1">
        <v>486</v>
      </c>
      <c r="N26" s="1">
        <v>685</v>
      </c>
    </row>
    <row r="27" spans="2:14">
      <c r="B27" s="54"/>
      <c r="C27" s="54"/>
      <c r="D27" s="54"/>
      <c r="E27" s="54"/>
      <c r="F27" s="54"/>
      <c r="G27" s="54"/>
      <c r="H27" s="54"/>
      <c r="I27" s="54"/>
      <c r="K27" s="1" t="s">
        <v>930</v>
      </c>
      <c r="L27" s="1">
        <v>1972</v>
      </c>
      <c r="M27" s="1">
        <v>476</v>
      </c>
      <c r="N27" s="1">
        <v>681</v>
      </c>
    </row>
    <row r="28" spans="2:14">
      <c r="B28" s="54"/>
      <c r="C28" s="54"/>
      <c r="D28" s="54"/>
      <c r="E28" s="54"/>
      <c r="F28" s="54"/>
      <c r="G28" s="54"/>
      <c r="H28" s="54"/>
      <c r="I28" s="54"/>
      <c r="K28" s="1" t="s">
        <v>943</v>
      </c>
      <c r="L28" s="1">
        <v>1992</v>
      </c>
      <c r="M28" s="1">
        <v>451</v>
      </c>
      <c r="N28" s="1">
        <v>676</v>
      </c>
    </row>
    <row r="29" spans="2:14">
      <c r="K29" s="1" t="s">
        <v>958</v>
      </c>
      <c r="L29" s="1">
        <v>1988</v>
      </c>
      <c r="M29" s="1">
        <v>437</v>
      </c>
      <c r="N29" s="1">
        <v>671</v>
      </c>
    </row>
    <row r="30" spans="2:14">
      <c r="K30" s="1" t="s">
        <v>934</v>
      </c>
      <c r="L30" s="1">
        <v>1908</v>
      </c>
      <c r="M30" s="1">
        <v>490</v>
      </c>
      <c r="N30" s="1">
        <v>670</v>
      </c>
    </row>
    <row r="31" spans="2:14">
      <c r="K31" s="1" t="s">
        <v>931</v>
      </c>
      <c r="L31" s="1">
        <v>1984</v>
      </c>
      <c r="M31" s="1">
        <v>475</v>
      </c>
      <c r="N31" s="1">
        <v>664</v>
      </c>
    </row>
    <row r="32" spans="2:14">
      <c r="K32" s="1" t="s">
        <v>950</v>
      </c>
      <c r="L32" s="1">
        <v>1972</v>
      </c>
      <c r="M32" s="1">
        <v>447</v>
      </c>
      <c r="N32" s="1">
        <v>649</v>
      </c>
    </row>
    <row r="33" spans="11:14">
      <c r="K33" s="1" t="s">
        <v>944</v>
      </c>
      <c r="L33" s="1">
        <v>1936</v>
      </c>
      <c r="M33" s="1">
        <v>481</v>
      </c>
      <c r="N33" s="1">
        <v>640</v>
      </c>
    </row>
    <row r="34" spans="11:14">
      <c r="K34" s="1" t="s">
        <v>931</v>
      </c>
      <c r="L34" s="1">
        <v>1976</v>
      </c>
      <c r="M34" s="1">
        <v>442</v>
      </c>
      <c r="N34" s="1">
        <v>636</v>
      </c>
    </row>
    <row r="35" spans="11:14">
      <c r="K35" s="1" t="s">
        <v>944</v>
      </c>
      <c r="L35" s="1">
        <v>1996</v>
      </c>
      <c r="M35" s="1">
        <v>470</v>
      </c>
      <c r="N35" s="1">
        <v>636</v>
      </c>
    </row>
    <row r="36" spans="11:14">
      <c r="K36" s="1" t="s">
        <v>931</v>
      </c>
      <c r="L36" s="1">
        <v>1992</v>
      </c>
      <c r="M36" s="1">
        <v>402</v>
      </c>
      <c r="N36" s="1">
        <v>629</v>
      </c>
    </row>
    <row r="37" spans="11:14">
      <c r="K37" s="1" t="s">
        <v>930</v>
      </c>
      <c r="L37" s="1">
        <v>1968</v>
      </c>
      <c r="M37" s="1">
        <v>423</v>
      </c>
      <c r="N37" s="1">
        <v>621</v>
      </c>
    </row>
    <row r="38" spans="11:14">
      <c r="K38" s="1" t="s">
        <v>951</v>
      </c>
      <c r="L38" s="1">
        <v>2000</v>
      </c>
      <c r="M38" s="1">
        <v>448</v>
      </c>
      <c r="N38" s="1">
        <v>620</v>
      </c>
    </row>
    <row r="39" spans="11:14">
      <c r="K39" s="1" t="s">
        <v>944</v>
      </c>
      <c r="L39" s="1">
        <v>1964</v>
      </c>
      <c r="M39" s="1">
        <v>432</v>
      </c>
      <c r="N39" s="1">
        <v>620</v>
      </c>
    </row>
    <row r="40" spans="11:14">
      <c r="K40" s="1" t="s">
        <v>945</v>
      </c>
      <c r="L40" s="1">
        <v>1992</v>
      </c>
      <c r="M40" s="1">
        <v>416</v>
      </c>
      <c r="N40" s="1">
        <v>618</v>
      </c>
    </row>
    <row r="41" spans="11:14">
      <c r="K41" s="1" t="s">
        <v>951</v>
      </c>
      <c r="L41" s="1">
        <v>2004</v>
      </c>
      <c r="M41" s="1">
        <v>458</v>
      </c>
      <c r="N41" s="1">
        <v>612</v>
      </c>
    </row>
    <row r="42" spans="11:14">
      <c r="K42" s="1" t="s">
        <v>951</v>
      </c>
      <c r="L42" s="1">
        <v>2008</v>
      </c>
      <c r="M42" s="1">
        <v>463</v>
      </c>
      <c r="N42" s="1">
        <v>611</v>
      </c>
    </row>
    <row r="43" spans="11:14">
      <c r="K43" s="1" t="s">
        <v>956</v>
      </c>
      <c r="L43" s="1">
        <v>1988</v>
      </c>
      <c r="M43" s="1">
        <v>423</v>
      </c>
      <c r="N43" s="1">
        <v>607</v>
      </c>
    </row>
    <row r="44" spans="11:14">
      <c r="K44" s="1" t="s">
        <v>947</v>
      </c>
      <c r="L44" s="1">
        <v>2004</v>
      </c>
      <c r="M44" s="1">
        <v>472</v>
      </c>
      <c r="N44" s="1">
        <v>603</v>
      </c>
    </row>
    <row r="45" spans="11:14">
      <c r="K45" s="1" t="s">
        <v>934</v>
      </c>
      <c r="L45" s="1">
        <v>1992</v>
      </c>
      <c r="M45" s="1">
        <v>420</v>
      </c>
      <c r="N45" s="1">
        <v>603</v>
      </c>
    </row>
    <row r="46" spans="11:14">
      <c r="K46" s="1" t="s">
        <v>944</v>
      </c>
      <c r="L46" s="1">
        <v>2004</v>
      </c>
      <c r="M46" s="1">
        <v>445</v>
      </c>
      <c r="N46" s="1">
        <v>597</v>
      </c>
    </row>
    <row r="47" spans="11:14">
      <c r="K47" s="1" t="s">
        <v>952</v>
      </c>
      <c r="L47" s="1">
        <v>1992</v>
      </c>
      <c r="M47" s="1">
        <v>446</v>
      </c>
      <c r="N47" s="1">
        <v>595</v>
      </c>
    </row>
    <row r="48" spans="11:14">
      <c r="K48" s="1" t="s">
        <v>950</v>
      </c>
      <c r="L48" s="1">
        <v>1968</v>
      </c>
      <c r="M48" s="1">
        <v>386</v>
      </c>
      <c r="N48" s="1">
        <v>592</v>
      </c>
    </row>
    <row r="49" spans="11:14">
      <c r="K49" s="1" t="s">
        <v>934</v>
      </c>
      <c r="L49" s="1">
        <v>1984</v>
      </c>
      <c r="M49" s="1">
        <v>387</v>
      </c>
      <c r="N49" s="1">
        <v>587</v>
      </c>
    </row>
    <row r="50" spans="11:14">
      <c r="K50" s="1" t="s">
        <v>959</v>
      </c>
      <c r="L50" s="1">
        <v>2016</v>
      </c>
      <c r="M50" s="1">
        <v>464</v>
      </c>
      <c r="N50" s="1">
        <v>585</v>
      </c>
    </row>
    <row r="51" spans="11:14">
      <c r="K51" s="1" t="s">
        <v>963</v>
      </c>
      <c r="L51" s="1">
        <v>1980</v>
      </c>
      <c r="M51" s="1">
        <v>399</v>
      </c>
      <c r="N51" s="1">
        <v>582</v>
      </c>
    </row>
    <row r="52" spans="11:14">
      <c r="K52" s="1" t="s">
        <v>944</v>
      </c>
      <c r="L52" s="1">
        <v>2000</v>
      </c>
      <c r="M52" s="1">
        <v>427</v>
      </c>
      <c r="N52" s="1">
        <v>580</v>
      </c>
    </row>
  </sheetData>
  <mergeCells count="3">
    <mergeCell ref="B2:I3"/>
    <mergeCell ref="B5:I19"/>
    <mergeCell ref="B21:I28"/>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8996-F96E-4A23-AD3D-3C27ABC3EFBD}">
  <dimension ref="B2:N22"/>
  <sheetViews>
    <sheetView workbookViewId="0">
      <selection activeCell="K14" sqref="K14:N22"/>
    </sheetView>
  </sheetViews>
  <sheetFormatPr defaultRowHeight="14.5"/>
  <cols>
    <col min="11" max="11" width="15.81640625" customWidth="1"/>
    <col min="12" max="12" width="28.1796875" customWidth="1"/>
    <col min="13" max="14" width="14.26953125" customWidth="1"/>
  </cols>
  <sheetData>
    <row r="2" spans="2:14">
      <c r="B2" s="29" t="s">
        <v>1166</v>
      </c>
      <c r="C2" s="29"/>
      <c r="D2" s="29"/>
      <c r="E2" s="29"/>
      <c r="F2" s="29"/>
      <c r="G2" s="29"/>
      <c r="H2" s="29"/>
      <c r="I2" s="29"/>
      <c r="K2" t="s">
        <v>136</v>
      </c>
      <c r="L2" t="s">
        <v>938</v>
      </c>
      <c r="M2" t="s">
        <v>1167</v>
      </c>
      <c r="N2" t="s">
        <v>939</v>
      </c>
    </row>
    <row r="3" spans="2:14">
      <c r="B3" s="29"/>
      <c r="C3" s="29"/>
      <c r="D3" s="29"/>
      <c r="E3" s="29"/>
      <c r="F3" s="29"/>
      <c r="G3" s="29"/>
      <c r="H3" s="29"/>
      <c r="I3" s="29"/>
      <c r="K3" s="1" t="s">
        <v>102</v>
      </c>
      <c r="L3" s="1" t="s">
        <v>59</v>
      </c>
      <c r="M3" s="1" t="s">
        <v>929</v>
      </c>
      <c r="N3" s="1">
        <v>386</v>
      </c>
    </row>
    <row r="4" spans="2:14">
      <c r="K4" s="1" t="s">
        <v>102</v>
      </c>
      <c r="L4" s="1" t="s">
        <v>59</v>
      </c>
      <c r="M4" s="1" t="s">
        <v>930</v>
      </c>
      <c r="N4" s="1">
        <v>376</v>
      </c>
    </row>
    <row r="5" spans="2:14" ht="14.5" customHeight="1">
      <c r="B5" s="30" t="s">
        <v>1168</v>
      </c>
      <c r="C5" s="30"/>
      <c r="D5" s="30"/>
      <c r="E5" s="30"/>
      <c r="F5" s="30"/>
      <c r="G5" s="30"/>
      <c r="H5" s="30"/>
      <c r="I5" s="30"/>
      <c r="K5" s="1" t="s">
        <v>102</v>
      </c>
      <c r="L5" s="1" t="s">
        <v>59</v>
      </c>
      <c r="M5" s="1" t="s">
        <v>931</v>
      </c>
      <c r="N5" s="1">
        <v>368</v>
      </c>
    </row>
    <row r="6" spans="2:14">
      <c r="B6" s="30"/>
      <c r="C6" s="30"/>
      <c r="D6" s="30"/>
      <c r="E6" s="30"/>
      <c r="F6" s="30"/>
      <c r="G6" s="30"/>
      <c r="H6" s="30"/>
      <c r="I6" s="30"/>
      <c r="K6" s="1" t="s">
        <v>102</v>
      </c>
      <c r="L6" s="1" t="s">
        <v>59</v>
      </c>
      <c r="M6" s="1" t="s">
        <v>932</v>
      </c>
      <c r="N6" s="1">
        <v>323</v>
      </c>
    </row>
    <row r="7" spans="2:14">
      <c r="B7" s="30"/>
      <c r="C7" s="30"/>
      <c r="D7" s="30"/>
      <c r="E7" s="30"/>
      <c r="F7" s="30"/>
      <c r="G7" s="30"/>
      <c r="H7" s="30"/>
      <c r="I7" s="30"/>
      <c r="K7" s="1" t="s">
        <v>109</v>
      </c>
      <c r="L7" s="1" t="s">
        <v>60</v>
      </c>
      <c r="M7" s="1" t="s">
        <v>933</v>
      </c>
      <c r="N7" s="1">
        <v>307</v>
      </c>
    </row>
    <row r="8" spans="2:14">
      <c r="B8" s="30"/>
      <c r="C8" s="30"/>
      <c r="D8" s="30"/>
      <c r="E8" s="30"/>
      <c r="F8" s="30"/>
      <c r="G8" s="30"/>
      <c r="H8" s="30"/>
      <c r="I8" s="30"/>
      <c r="K8" s="1" t="s">
        <v>109</v>
      </c>
      <c r="L8" s="1" t="s">
        <v>60</v>
      </c>
      <c r="M8" s="1" t="s">
        <v>934</v>
      </c>
      <c r="N8" s="1">
        <v>303</v>
      </c>
    </row>
    <row r="9" spans="2:14" ht="29">
      <c r="B9" s="30"/>
      <c r="C9" s="30"/>
      <c r="D9" s="30"/>
      <c r="E9" s="30"/>
      <c r="F9" s="30"/>
      <c r="G9" s="30"/>
      <c r="H9" s="30"/>
      <c r="I9" s="30"/>
      <c r="K9" s="1" t="s">
        <v>103</v>
      </c>
      <c r="L9" s="1" t="s">
        <v>543</v>
      </c>
      <c r="M9" s="1" t="s">
        <v>930</v>
      </c>
      <c r="N9" s="1">
        <v>296</v>
      </c>
    </row>
    <row r="10" spans="2:14">
      <c r="B10" s="30"/>
      <c r="C10" s="30"/>
      <c r="D10" s="30"/>
      <c r="E10" s="30"/>
      <c r="F10" s="30"/>
      <c r="G10" s="30"/>
      <c r="H10" s="30"/>
      <c r="I10" s="30"/>
      <c r="K10" s="1" t="s">
        <v>102</v>
      </c>
      <c r="L10" s="1" t="s">
        <v>59</v>
      </c>
      <c r="M10" s="1" t="s">
        <v>935</v>
      </c>
      <c r="N10" s="1">
        <v>291</v>
      </c>
    </row>
    <row r="11" spans="2:14">
      <c r="B11" s="30"/>
      <c r="C11" s="30"/>
      <c r="D11" s="30"/>
      <c r="E11" s="30"/>
      <c r="F11" s="30"/>
      <c r="G11" s="30"/>
      <c r="H11" s="30"/>
      <c r="I11" s="30"/>
      <c r="K11" s="1" t="s">
        <v>102</v>
      </c>
      <c r="L11" s="1" t="s">
        <v>59</v>
      </c>
      <c r="M11" s="1" t="s">
        <v>936</v>
      </c>
      <c r="N11" s="1">
        <v>279</v>
      </c>
    </row>
    <row r="12" spans="2:14">
      <c r="B12" s="30"/>
      <c r="C12" s="30"/>
      <c r="D12" s="30"/>
      <c r="E12" s="30"/>
      <c r="F12" s="30"/>
      <c r="G12" s="30"/>
      <c r="H12" s="30"/>
      <c r="I12" s="30"/>
      <c r="K12" s="1" t="s">
        <v>109</v>
      </c>
      <c r="L12" s="1" t="s">
        <v>60</v>
      </c>
      <c r="M12" s="1" t="s">
        <v>937</v>
      </c>
      <c r="N12" s="1">
        <v>274</v>
      </c>
    </row>
    <row r="13" spans="2:14">
      <c r="B13" s="30"/>
      <c r="C13" s="30"/>
      <c r="D13" s="30"/>
      <c r="E13" s="30"/>
      <c r="F13" s="30"/>
      <c r="G13" s="30"/>
      <c r="H13" s="30"/>
      <c r="I13" s="30"/>
    </row>
    <row r="14" spans="2:14">
      <c r="B14" s="30"/>
      <c r="C14" s="30"/>
      <c r="D14" s="30"/>
      <c r="E14" s="30"/>
      <c r="F14" s="30"/>
      <c r="G14" s="30"/>
      <c r="H14" s="30"/>
      <c r="I14" s="30"/>
      <c r="K14" s="52" t="s">
        <v>1169</v>
      </c>
      <c r="L14" s="52"/>
      <c r="M14" s="52"/>
      <c r="N14" s="52"/>
    </row>
    <row r="15" spans="2:14">
      <c r="B15" s="30"/>
      <c r="C15" s="30"/>
      <c r="D15" s="30"/>
      <c r="E15" s="30"/>
      <c r="F15" s="30"/>
      <c r="G15" s="30"/>
      <c r="H15" s="30"/>
      <c r="I15" s="30"/>
      <c r="K15" s="52"/>
      <c r="L15" s="52"/>
      <c r="M15" s="52"/>
      <c r="N15" s="52"/>
    </row>
    <row r="16" spans="2:14">
      <c r="B16" s="30"/>
      <c r="C16" s="30"/>
      <c r="D16" s="30"/>
      <c r="E16" s="30"/>
      <c r="F16" s="30"/>
      <c r="G16" s="30"/>
      <c r="H16" s="30"/>
      <c r="I16" s="30"/>
      <c r="K16" s="52"/>
      <c r="L16" s="52"/>
      <c r="M16" s="52"/>
      <c r="N16" s="52"/>
    </row>
    <row r="17" spans="2:14">
      <c r="B17" s="30"/>
      <c r="C17" s="30"/>
      <c r="D17" s="30"/>
      <c r="E17" s="30"/>
      <c r="F17" s="30"/>
      <c r="G17" s="30"/>
      <c r="H17" s="30"/>
      <c r="I17" s="30"/>
      <c r="K17" s="52"/>
      <c r="L17" s="52"/>
      <c r="M17" s="52"/>
      <c r="N17" s="52"/>
    </row>
    <row r="18" spans="2:14">
      <c r="B18" s="30"/>
      <c r="C18" s="30"/>
      <c r="D18" s="30"/>
      <c r="E18" s="30"/>
      <c r="F18" s="30"/>
      <c r="G18" s="30"/>
      <c r="H18" s="30"/>
      <c r="I18" s="30"/>
      <c r="K18" s="52"/>
      <c r="L18" s="52"/>
      <c r="M18" s="52"/>
      <c r="N18" s="52"/>
    </row>
    <row r="19" spans="2:14">
      <c r="B19" s="30"/>
      <c r="C19" s="30"/>
      <c r="D19" s="30"/>
      <c r="E19" s="30"/>
      <c r="F19" s="30"/>
      <c r="G19" s="30"/>
      <c r="H19" s="30"/>
      <c r="I19" s="30"/>
      <c r="K19" s="52"/>
      <c r="L19" s="52"/>
      <c r="M19" s="52"/>
      <c r="N19" s="52"/>
    </row>
    <row r="20" spans="2:14">
      <c r="B20" s="30"/>
      <c r="C20" s="30"/>
      <c r="D20" s="30"/>
      <c r="E20" s="30"/>
      <c r="F20" s="30"/>
      <c r="G20" s="30"/>
      <c r="H20" s="30"/>
      <c r="I20" s="30"/>
      <c r="K20" s="52"/>
      <c r="L20" s="52"/>
      <c r="M20" s="52"/>
      <c r="N20" s="52"/>
    </row>
    <row r="21" spans="2:14">
      <c r="B21" s="30"/>
      <c r="C21" s="30"/>
      <c r="D21" s="30"/>
      <c r="E21" s="30"/>
      <c r="F21" s="30"/>
      <c r="G21" s="30"/>
      <c r="H21" s="30"/>
      <c r="I21" s="30"/>
      <c r="K21" s="52"/>
      <c r="L21" s="52"/>
      <c r="M21" s="52"/>
      <c r="N21" s="52"/>
    </row>
    <row r="22" spans="2:14">
      <c r="B22" s="30"/>
      <c r="C22" s="30"/>
      <c r="D22" s="30"/>
      <c r="E22" s="30"/>
      <c r="F22" s="30"/>
      <c r="G22" s="30"/>
      <c r="H22" s="30"/>
      <c r="I22" s="30"/>
      <c r="K22" s="52"/>
      <c r="L22" s="52"/>
      <c r="M22" s="52"/>
      <c r="N22" s="52"/>
    </row>
  </sheetData>
  <mergeCells count="3">
    <mergeCell ref="B2:I3"/>
    <mergeCell ref="B5:I22"/>
    <mergeCell ref="K14:N22"/>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626E5-32A9-4A36-9258-F310EDD72BAA}">
  <dimension ref="B2:M230"/>
  <sheetViews>
    <sheetView topLeftCell="A16" workbookViewId="0">
      <selection activeCell="G28" sqref="G28"/>
    </sheetView>
  </sheetViews>
  <sheetFormatPr defaultRowHeight="14.5"/>
  <cols>
    <col min="11" max="11" width="23.7265625" bestFit="1" customWidth="1"/>
    <col min="12" max="12" width="10.453125" customWidth="1"/>
    <col min="13" max="13" width="14.26953125" customWidth="1"/>
  </cols>
  <sheetData>
    <row r="2" spans="2:13">
      <c r="B2" s="50" t="s">
        <v>1170</v>
      </c>
      <c r="C2" s="50"/>
      <c r="D2" s="50"/>
      <c r="E2" s="50"/>
      <c r="F2" s="50"/>
      <c r="G2" s="50"/>
      <c r="H2" s="50"/>
      <c r="I2" s="50"/>
      <c r="K2" t="s">
        <v>158</v>
      </c>
      <c r="L2" t="s">
        <v>1172</v>
      </c>
      <c r="M2" t="s">
        <v>939</v>
      </c>
    </row>
    <row r="3" spans="2:13">
      <c r="B3" s="50"/>
      <c r="C3" s="50"/>
      <c r="D3" s="50"/>
      <c r="E3" s="50"/>
      <c r="F3" s="50"/>
      <c r="G3" s="50"/>
      <c r="H3" s="50"/>
      <c r="I3" s="50"/>
      <c r="K3" s="1" t="s">
        <v>1149</v>
      </c>
      <c r="L3" s="1">
        <v>2016</v>
      </c>
      <c r="M3" s="1">
        <v>12</v>
      </c>
    </row>
    <row r="4" spans="2:13">
      <c r="K4" s="1" t="s">
        <v>1154</v>
      </c>
      <c r="L4" s="1">
        <v>2012</v>
      </c>
      <c r="M4" s="1">
        <v>9</v>
      </c>
    </row>
    <row r="5" spans="2:13">
      <c r="B5" s="43" t="s">
        <v>1171</v>
      </c>
      <c r="C5" s="38"/>
      <c r="D5" s="38"/>
      <c r="E5" s="38"/>
      <c r="F5" s="38"/>
      <c r="G5" s="38"/>
      <c r="H5" s="38"/>
      <c r="I5" s="38"/>
      <c r="K5" s="1" t="s">
        <v>156</v>
      </c>
      <c r="L5" s="1">
        <v>2012</v>
      </c>
      <c r="M5" s="1">
        <v>4</v>
      </c>
    </row>
    <row r="6" spans="2:13">
      <c r="B6" s="38"/>
      <c r="C6" s="38"/>
      <c r="D6" s="38"/>
      <c r="E6" s="38"/>
      <c r="F6" s="38"/>
      <c r="G6" s="38"/>
      <c r="H6" s="38"/>
      <c r="I6" s="38"/>
      <c r="K6" s="1" t="s">
        <v>1146</v>
      </c>
      <c r="L6" s="1">
        <v>2008</v>
      </c>
      <c r="M6" s="1">
        <v>14</v>
      </c>
    </row>
    <row r="7" spans="2:13">
      <c r="B7" s="38"/>
      <c r="C7" s="38"/>
      <c r="D7" s="38"/>
      <c r="E7" s="38"/>
      <c r="F7" s="38"/>
      <c r="G7" s="38"/>
      <c r="H7" s="38"/>
      <c r="I7" s="38"/>
      <c r="K7" s="1" t="s">
        <v>1155</v>
      </c>
      <c r="L7" s="1">
        <v>2008</v>
      </c>
      <c r="M7" s="1">
        <v>7</v>
      </c>
    </row>
    <row r="8" spans="2:13">
      <c r="B8" s="38"/>
      <c r="C8" s="38"/>
      <c r="D8" s="38"/>
      <c r="E8" s="38"/>
      <c r="F8" s="38"/>
      <c r="G8" s="38"/>
      <c r="H8" s="38"/>
      <c r="I8" s="38"/>
      <c r="K8" s="1" t="s">
        <v>1150</v>
      </c>
      <c r="L8" s="1">
        <v>2004</v>
      </c>
      <c r="M8" s="1">
        <v>11</v>
      </c>
    </row>
    <row r="9" spans="2:13">
      <c r="B9" s="38"/>
      <c r="C9" s="38"/>
      <c r="D9" s="38"/>
      <c r="E9" s="38"/>
      <c r="F9" s="38"/>
      <c r="G9" s="38"/>
      <c r="H9" s="38"/>
      <c r="I9" s="38"/>
      <c r="K9" s="1" t="s">
        <v>1119</v>
      </c>
      <c r="L9" s="1">
        <v>2000</v>
      </c>
      <c r="M9" s="1">
        <v>43</v>
      </c>
    </row>
    <row r="10" spans="2:13">
      <c r="B10" s="38"/>
      <c r="C10" s="38"/>
      <c r="D10" s="38"/>
      <c r="E10" s="38"/>
      <c r="F10" s="38"/>
      <c r="G10" s="38"/>
      <c r="H10" s="38"/>
      <c r="I10" s="38"/>
      <c r="K10" s="1" t="s">
        <v>1137</v>
      </c>
      <c r="L10" s="1">
        <v>2000</v>
      </c>
      <c r="M10" s="1">
        <v>26</v>
      </c>
    </row>
    <row r="11" spans="2:13">
      <c r="B11" s="38"/>
      <c r="C11" s="38"/>
      <c r="D11" s="38"/>
      <c r="E11" s="38"/>
      <c r="F11" s="38"/>
      <c r="G11" s="38"/>
      <c r="H11" s="38"/>
      <c r="I11" s="38"/>
      <c r="K11" s="1" t="s">
        <v>1139</v>
      </c>
      <c r="L11" s="1">
        <v>2000</v>
      </c>
      <c r="M11" s="1">
        <v>25</v>
      </c>
    </row>
    <row r="12" spans="2:13">
      <c r="B12" s="38"/>
      <c r="C12" s="38"/>
      <c r="D12" s="38"/>
      <c r="E12" s="38"/>
      <c r="F12" s="38"/>
      <c r="G12" s="38"/>
      <c r="H12" s="38"/>
      <c r="I12" s="38"/>
      <c r="K12" s="1" t="s">
        <v>1153</v>
      </c>
      <c r="L12" s="1">
        <v>2000</v>
      </c>
      <c r="M12" s="1">
        <v>10</v>
      </c>
    </row>
    <row r="13" spans="2:13">
      <c r="B13" s="38"/>
      <c r="C13" s="38"/>
      <c r="D13" s="38"/>
      <c r="E13" s="38"/>
      <c r="F13" s="38"/>
      <c r="G13" s="38"/>
      <c r="H13" s="38"/>
      <c r="I13" s="38"/>
      <c r="K13" s="1" t="s">
        <v>1125</v>
      </c>
      <c r="L13" s="1">
        <v>1996</v>
      </c>
      <c r="M13" s="1">
        <v>39</v>
      </c>
    </row>
    <row r="14" spans="2:13">
      <c r="B14" s="38"/>
      <c r="C14" s="38"/>
      <c r="D14" s="38"/>
      <c r="E14" s="38"/>
      <c r="F14" s="38"/>
      <c r="G14" s="38"/>
      <c r="H14" s="38"/>
      <c r="I14" s="38"/>
      <c r="K14" s="1" t="s">
        <v>1152</v>
      </c>
      <c r="L14" s="1">
        <v>1996</v>
      </c>
      <c r="M14" s="1">
        <v>10</v>
      </c>
    </row>
    <row r="15" spans="2:13">
      <c r="B15" s="38"/>
      <c r="C15" s="38"/>
      <c r="D15" s="38"/>
      <c r="E15" s="38"/>
      <c r="F15" s="38"/>
      <c r="G15" s="38"/>
      <c r="H15" s="38"/>
      <c r="I15" s="38"/>
      <c r="K15" s="1" t="s">
        <v>1142</v>
      </c>
      <c r="L15" s="1">
        <v>1996</v>
      </c>
      <c r="M15" s="1">
        <v>19</v>
      </c>
    </row>
    <row r="16" spans="2:13">
      <c r="B16" s="38"/>
      <c r="C16" s="38"/>
      <c r="D16" s="38"/>
      <c r="E16" s="38"/>
      <c r="F16" s="38"/>
      <c r="G16" s="38"/>
      <c r="H16" s="38"/>
      <c r="I16" s="38"/>
      <c r="K16" s="1" t="s">
        <v>1144</v>
      </c>
      <c r="L16" s="1">
        <v>1996</v>
      </c>
      <c r="M16" s="1">
        <v>18</v>
      </c>
    </row>
    <row r="17" spans="2:13">
      <c r="B17" s="38"/>
      <c r="C17" s="38"/>
      <c r="D17" s="38"/>
      <c r="E17" s="38"/>
      <c r="F17" s="38"/>
      <c r="G17" s="38"/>
      <c r="H17" s="38"/>
      <c r="I17" s="38"/>
      <c r="K17" s="1" t="s">
        <v>1143</v>
      </c>
      <c r="L17" s="1">
        <v>1996</v>
      </c>
      <c r="M17" s="1">
        <v>19</v>
      </c>
    </row>
    <row r="18" spans="2:13">
      <c r="B18" s="38"/>
      <c r="C18" s="38"/>
      <c r="D18" s="38"/>
      <c r="E18" s="38"/>
      <c r="F18" s="38"/>
      <c r="G18" s="38"/>
      <c r="H18" s="38"/>
      <c r="I18" s="38"/>
      <c r="K18" s="1" t="s">
        <v>1141</v>
      </c>
      <c r="L18" s="1">
        <v>1996</v>
      </c>
      <c r="M18" s="1">
        <v>21</v>
      </c>
    </row>
    <row r="19" spans="2:13">
      <c r="B19" s="38"/>
      <c r="C19" s="38"/>
      <c r="D19" s="38"/>
      <c r="E19" s="38"/>
      <c r="F19" s="38"/>
      <c r="G19" s="38"/>
      <c r="H19" s="38"/>
      <c r="I19" s="38"/>
      <c r="K19" s="1" t="s">
        <v>1074</v>
      </c>
      <c r="L19" s="1">
        <v>1996</v>
      </c>
      <c r="M19" s="1">
        <v>102</v>
      </c>
    </row>
    <row r="20" spans="2:13">
      <c r="B20" s="38"/>
      <c r="C20" s="38"/>
      <c r="D20" s="38"/>
      <c r="E20" s="38"/>
      <c r="F20" s="38"/>
      <c r="G20" s="38"/>
      <c r="H20" s="38"/>
      <c r="I20" s="38"/>
      <c r="K20" s="1" t="s">
        <v>1140</v>
      </c>
      <c r="L20" s="1">
        <v>1996</v>
      </c>
      <c r="M20" s="1">
        <v>22</v>
      </c>
    </row>
    <row r="21" spans="2:13" ht="29">
      <c r="B21" s="38"/>
      <c r="C21" s="38"/>
      <c r="D21" s="38"/>
      <c r="E21" s="38"/>
      <c r="F21" s="38"/>
      <c r="G21" s="38"/>
      <c r="H21" s="38"/>
      <c r="I21" s="38"/>
      <c r="K21" s="1" t="s">
        <v>157</v>
      </c>
      <c r="L21" s="1">
        <v>1996</v>
      </c>
      <c r="M21" s="1">
        <v>42</v>
      </c>
    </row>
    <row r="22" spans="2:13">
      <c r="K22" s="1" t="s">
        <v>1145</v>
      </c>
      <c r="L22" s="1">
        <v>1996</v>
      </c>
      <c r="M22" s="1">
        <v>17</v>
      </c>
    </row>
    <row r="23" spans="2:13">
      <c r="B23" s="54" t="s">
        <v>1173</v>
      </c>
      <c r="C23" s="54"/>
      <c r="D23" s="54"/>
      <c r="E23" s="54"/>
      <c r="F23" s="54"/>
      <c r="G23" s="54"/>
      <c r="H23" s="54"/>
      <c r="I23" s="54"/>
      <c r="K23" s="1" t="s">
        <v>1093</v>
      </c>
      <c r="L23" s="1">
        <v>1996</v>
      </c>
      <c r="M23" s="1">
        <v>70</v>
      </c>
    </row>
    <row r="24" spans="2:13">
      <c r="B24" s="54"/>
      <c r="C24" s="54"/>
      <c r="D24" s="54"/>
      <c r="E24" s="54"/>
      <c r="F24" s="54"/>
      <c r="G24" s="54"/>
      <c r="H24" s="54"/>
      <c r="I24" s="54"/>
      <c r="K24" s="1" t="s">
        <v>1108</v>
      </c>
      <c r="L24" s="1">
        <v>1996</v>
      </c>
      <c r="M24" s="1">
        <v>57</v>
      </c>
    </row>
    <row r="25" spans="2:13">
      <c r="B25" s="54"/>
      <c r="C25" s="54"/>
      <c r="D25" s="54"/>
      <c r="E25" s="54"/>
      <c r="F25" s="54"/>
      <c r="G25" s="54"/>
      <c r="H25" s="54"/>
      <c r="I25" s="54"/>
      <c r="K25" s="1" t="s">
        <v>1036</v>
      </c>
      <c r="L25" s="1">
        <v>1994</v>
      </c>
      <c r="M25" s="1">
        <v>238</v>
      </c>
    </row>
    <row r="26" spans="2:13">
      <c r="K26" s="1" t="s">
        <v>1090</v>
      </c>
      <c r="L26" s="1">
        <v>1992</v>
      </c>
      <c r="M26" s="1">
        <v>77</v>
      </c>
    </row>
    <row r="27" spans="2:13">
      <c r="K27" s="1" t="s">
        <v>1147</v>
      </c>
      <c r="L27" s="1">
        <v>1992</v>
      </c>
      <c r="M27" s="1">
        <v>14</v>
      </c>
    </row>
    <row r="28" spans="2:13">
      <c r="K28" s="1" t="s">
        <v>1132</v>
      </c>
      <c r="L28" s="1">
        <v>1992</v>
      </c>
      <c r="M28" s="1">
        <v>32</v>
      </c>
    </row>
    <row r="29" spans="2:13">
      <c r="K29" s="1" t="s">
        <v>1035</v>
      </c>
      <c r="L29" s="1">
        <v>1988</v>
      </c>
      <c r="M29" s="1">
        <v>241</v>
      </c>
    </row>
    <row r="30" spans="2:13">
      <c r="K30" s="1" t="s">
        <v>1127</v>
      </c>
      <c r="L30" s="1">
        <v>1988</v>
      </c>
      <c r="M30" s="1">
        <v>37</v>
      </c>
    </row>
    <row r="31" spans="2:13">
      <c r="K31" s="1" t="s">
        <v>1022</v>
      </c>
      <c r="L31" s="1">
        <v>1988</v>
      </c>
      <c r="M31" s="1">
        <v>322</v>
      </c>
    </row>
    <row r="32" spans="2:13">
      <c r="K32" s="1" t="s">
        <v>972</v>
      </c>
      <c r="L32" s="1">
        <v>1988</v>
      </c>
      <c r="M32" s="1">
        <v>1939</v>
      </c>
    </row>
    <row r="33" spans="11:13">
      <c r="K33" s="1" t="s">
        <v>1126</v>
      </c>
      <c r="L33" s="1">
        <v>1988</v>
      </c>
      <c r="M33" s="1">
        <v>39</v>
      </c>
    </row>
    <row r="34" spans="11:13">
      <c r="K34" s="1" t="s">
        <v>975</v>
      </c>
      <c r="L34" s="1">
        <v>1988</v>
      </c>
      <c r="M34" s="1">
        <v>1516</v>
      </c>
    </row>
    <row r="35" spans="11:13">
      <c r="K35" s="1" t="s">
        <v>1120</v>
      </c>
      <c r="L35" s="1">
        <v>1988</v>
      </c>
      <c r="M35" s="1">
        <v>42</v>
      </c>
    </row>
    <row r="36" spans="11:13">
      <c r="K36" s="1" t="s">
        <v>1134</v>
      </c>
      <c r="L36" s="1">
        <v>1988</v>
      </c>
      <c r="M36" s="1">
        <v>29</v>
      </c>
    </row>
    <row r="37" spans="11:13">
      <c r="K37" s="1" t="s">
        <v>1030</v>
      </c>
      <c r="L37" s="1">
        <v>1988</v>
      </c>
      <c r="M37" s="1">
        <v>264</v>
      </c>
    </row>
    <row r="38" spans="11:13">
      <c r="K38" s="1" t="s">
        <v>1115</v>
      </c>
      <c r="L38" s="1">
        <v>1988</v>
      </c>
      <c r="M38" s="1">
        <v>49</v>
      </c>
    </row>
    <row r="39" spans="11:13" ht="29">
      <c r="K39" s="1" t="s">
        <v>1069</v>
      </c>
      <c r="L39" s="1">
        <v>1988</v>
      </c>
      <c r="M39" s="1">
        <v>112</v>
      </c>
    </row>
    <row r="40" spans="11:13">
      <c r="K40" s="1" t="s">
        <v>1008</v>
      </c>
      <c r="L40" s="1">
        <v>1988</v>
      </c>
      <c r="M40" s="1">
        <v>527</v>
      </c>
    </row>
    <row r="41" spans="11:13">
      <c r="K41" s="1" t="s">
        <v>1131</v>
      </c>
      <c r="L41" s="1">
        <v>1988</v>
      </c>
      <c r="M41" s="1">
        <v>35</v>
      </c>
    </row>
    <row r="42" spans="11:13">
      <c r="K42" s="1" t="s">
        <v>1121</v>
      </c>
      <c r="L42" s="1">
        <v>1988</v>
      </c>
      <c r="M42" s="1">
        <v>42</v>
      </c>
    </row>
    <row r="43" spans="11:13">
      <c r="K43" s="1" t="s">
        <v>1156</v>
      </c>
      <c r="L43" s="1">
        <v>1988</v>
      </c>
      <c r="M43" s="1">
        <v>5</v>
      </c>
    </row>
    <row r="44" spans="11:13">
      <c r="K44" s="1" t="s">
        <v>1118</v>
      </c>
      <c r="L44" s="1">
        <v>1984</v>
      </c>
      <c r="M44" s="1">
        <v>44</v>
      </c>
    </row>
    <row r="45" spans="11:13">
      <c r="K45" s="1" t="s">
        <v>1109</v>
      </c>
      <c r="L45" s="1">
        <v>1984</v>
      </c>
      <c r="M45" s="1">
        <v>55</v>
      </c>
    </row>
    <row r="46" spans="11:13">
      <c r="K46" s="1" t="s">
        <v>1128</v>
      </c>
      <c r="L46" s="1">
        <v>1984</v>
      </c>
      <c r="M46" s="1">
        <v>36</v>
      </c>
    </row>
    <row r="47" spans="11:13" ht="29">
      <c r="K47" s="1" t="s">
        <v>1051</v>
      </c>
      <c r="L47" s="1">
        <v>1984</v>
      </c>
      <c r="M47" s="1">
        <v>155</v>
      </c>
    </row>
    <row r="48" spans="11:13">
      <c r="K48" s="1" t="s">
        <v>1068</v>
      </c>
      <c r="L48" s="1">
        <v>1984</v>
      </c>
      <c r="M48" s="1">
        <v>113</v>
      </c>
    </row>
    <row r="49" spans="11:13" ht="29">
      <c r="K49" s="1" t="s">
        <v>1098</v>
      </c>
      <c r="L49" s="1">
        <v>1984</v>
      </c>
      <c r="M49" s="1">
        <v>66</v>
      </c>
    </row>
    <row r="50" spans="11:13">
      <c r="K50" s="1" t="s">
        <v>987</v>
      </c>
      <c r="L50" s="1">
        <v>1984</v>
      </c>
      <c r="M50" s="1">
        <v>918</v>
      </c>
    </row>
    <row r="51" spans="11:13">
      <c r="K51" s="1" t="s">
        <v>1129</v>
      </c>
      <c r="L51" s="1">
        <v>1984</v>
      </c>
      <c r="M51" s="1">
        <v>36</v>
      </c>
    </row>
    <row r="52" spans="11:13">
      <c r="K52" s="1" t="s">
        <v>1106</v>
      </c>
      <c r="L52" s="1">
        <v>1984</v>
      </c>
      <c r="M52" s="1">
        <v>57</v>
      </c>
    </row>
    <row r="53" spans="11:13">
      <c r="K53" s="1" t="s">
        <v>1124</v>
      </c>
      <c r="L53" s="1">
        <v>1984</v>
      </c>
      <c r="M53" s="1">
        <v>40</v>
      </c>
    </row>
    <row r="54" spans="11:13">
      <c r="K54" s="1" t="s">
        <v>1112</v>
      </c>
      <c r="L54" s="1">
        <v>1984</v>
      </c>
      <c r="M54" s="1">
        <v>50</v>
      </c>
    </row>
    <row r="55" spans="11:13">
      <c r="K55" s="1" t="s">
        <v>1070</v>
      </c>
      <c r="L55" s="1">
        <v>1984</v>
      </c>
      <c r="M55" s="1">
        <v>111</v>
      </c>
    </row>
    <row r="56" spans="11:13" ht="29">
      <c r="K56" s="1" t="s">
        <v>1037</v>
      </c>
      <c r="L56" s="1">
        <v>1984</v>
      </c>
      <c r="M56" s="1">
        <v>236</v>
      </c>
    </row>
    <row r="57" spans="11:13">
      <c r="K57" s="1" t="s">
        <v>1117</v>
      </c>
      <c r="L57" s="1">
        <v>1984</v>
      </c>
      <c r="M57" s="1">
        <v>45</v>
      </c>
    </row>
    <row r="58" spans="11:13">
      <c r="K58" s="1" t="s">
        <v>1079</v>
      </c>
      <c r="L58" s="1">
        <v>1984</v>
      </c>
      <c r="M58" s="1">
        <v>93</v>
      </c>
    </row>
    <row r="59" spans="11:13">
      <c r="K59" s="1" t="s">
        <v>1058</v>
      </c>
      <c r="L59" s="1">
        <v>1984</v>
      </c>
      <c r="M59" s="1">
        <v>144</v>
      </c>
    </row>
    <row r="60" spans="11:13">
      <c r="K60" s="1" t="s">
        <v>1135</v>
      </c>
      <c r="L60" s="1">
        <v>1984</v>
      </c>
      <c r="M60" s="1">
        <v>28</v>
      </c>
    </row>
    <row r="61" spans="11:13">
      <c r="K61" s="1" t="s">
        <v>1136</v>
      </c>
      <c r="L61" s="1">
        <v>1984</v>
      </c>
      <c r="M61" s="1">
        <v>28</v>
      </c>
    </row>
    <row r="62" spans="11:13">
      <c r="K62" s="1" t="s">
        <v>1105</v>
      </c>
      <c r="L62" s="1">
        <v>1984</v>
      </c>
      <c r="M62" s="1">
        <v>58</v>
      </c>
    </row>
    <row r="63" spans="11:13">
      <c r="K63" s="1" t="s">
        <v>1047</v>
      </c>
      <c r="L63" s="1">
        <v>1984</v>
      </c>
      <c r="M63" s="1">
        <v>177</v>
      </c>
    </row>
    <row r="64" spans="11:13">
      <c r="K64" s="1" t="s">
        <v>1111</v>
      </c>
      <c r="L64" s="1">
        <v>1984</v>
      </c>
      <c r="M64" s="1">
        <v>52</v>
      </c>
    </row>
    <row r="65" spans="11:13">
      <c r="K65" s="1" t="s">
        <v>1100</v>
      </c>
      <c r="L65" s="1">
        <v>1984</v>
      </c>
      <c r="M65" s="1">
        <v>65</v>
      </c>
    </row>
    <row r="66" spans="11:13" ht="29">
      <c r="K66" s="1" t="s">
        <v>1012</v>
      </c>
      <c r="L66" s="1">
        <v>1984</v>
      </c>
      <c r="M66" s="1">
        <v>459</v>
      </c>
    </row>
    <row r="67" spans="11:13">
      <c r="K67" s="1" t="s">
        <v>1138</v>
      </c>
      <c r="L67" s="1">
        <v>1984</v>
      </c>
      <c r="M67" s="1">
        <v>26</v>
      </c>
    </row>
    <row r="68" spans="11:13">
      <c r="K68" s="1" t="s">
        <v>1116</v>
      </c>
      <c r="L68" s="1">
        <v>1984</v>
      </c>
      <c r="M68" s="1">
        <v>46</v>
      </c>
    </row>
    <row r="69" spans="11:13">
      <c r="K69" s="1" t="s">
        <v>1151</v>
      </c>
      <c r="L69" s="1">
        <v>1984</v>
      </c>
      <c r="M69" s="1">
        <v>11</v>
      </c>
    </row>
    <row r="70" spans="11:13">
      <c r="K70" s="1" t="s">
        <v>1029</v>
      </c>
      <c r="L70" s="1">
        <v>1980</v>
      </c>
      <c r="M70" s="1">
        <v>267</v>
      </c>
    </row>
    <row r="71" spans="11:13">
      <c r="K71" s="1" t="s">
        <v>1082</v>
      </c>
      <c r="L71" s="1">
        <v>1980</v>
      </c>
      <c r="M71" s="1">
        <v>89</v>
      </c>
    </row>
    <row r="72" spans="11:13">
      <c r="K72" s="1" t="s">
        <v>971</v>
      </c>
      <c r="L72" s="1">
        <v>1980</v>
      </c>
      <c r="M72" s="1">
        <v>2076</v>
      </c>
    </row>
    <row r="73" spans="11:13">
      <c r="K73" s="1" t="s">
        <v>1024</v>
      </c>
      <c r="L73" s="1">
        <v>1980</v>
      </c>
      <c r="M73" s="1">
        <v>310</v>
      </c>
    </row>
    <row r="74" spans="11:13">
      <c r="K74" s="1" t="s">
        <v>1087</v>
      </c>
      <c r="L74" s="1">
        <v>1980</v>
      </c>
      <c r="M74" s="1">
        <v>80</v>
      </c>
    </row>
    <row r="75" spans="11:13">
      <c r="K75" s="1" t="s">
        <v>1110</v>
      </c>
      <c r="L75" s="1">
        <v>1980</v>
      </c>
      <c r="M75" s="1">
        <v>54</v>
      </c>
    </row>
    <row r="76" spans="11:13">
      <c r="K76" s="1" t="s">
        <v>1095</v>
      </c>
      <c r="L76" s="1">
        <v>1980</v>
      </c>
      <c r="M76" s="1">
        <v>68</v>
      </c>
    </row>
    <row r="77" spans="11:13">
      <c r="K77" s="1" t="s">
        <v>1071</v>
      </c>
      <c r="L77" s="1">
        <v>1980</v>
      </c>
      <c r="M77" s="1">
        <v>111</v>
      </c>
    </row>
    <row r="78" spans="11:13">
      <c r="K78" s="1" t="s">
        <v>980</v>
      </c>
      <c r="L78" s="1">
        <v>1980</v>
      </c>
      <c r="M78" s="1">
        <v>1174</v>
      </c>
    </row>
    <row r="79" spans="11:13">
      <c r="K79" s="1" t="s">
        <v>981</v>
      </c>
      <c r="L79" s="1">
        <v>1980</v>
      </c>
      <c r="M79" s="1">
        <v>1137</v>
      </c>
    </row>
    <row r="80" spans="11:13">
      <c r="K80" s="1" t="s">
        <v>965</v>
      </c>
      <c r="L80" s="1">
        <v>1980</v>
      </c>
      <c r="M80" s="1">
        <v>2705</v>
      </c>
    </row>
    <row r="81" spans="11:13">
      <c r="K81" s="1" t="s">
        <v>1053</v>
      </c>
      <c r="L81" s="1">
        <v>1980</v>
      </c>
      <c r="M81" s="1">
        <v>154</v>
      </c>
    </row>
    <row r="82" spans="11:13">
      <c r="K82" s="1" t="s">
        <v>1049</v>
      </c>
      <c r="L82" s="1">
        <v>1976</v>
      </c>
      <c r="M82" s="1">
        <v>169</v>
      </c>
    </row>
    <row r="83" spans="11:13">
      <c r="K83" s="1" t="s">
        <v>1062</v>
      </c>
      <c r="L83" s="1">
        <v>1976</v>
      </c>
      <c r="M83" s="1">
        <v>132</v>
      </c>
    </row>
    <row r="84" spans="11:13">
      <c r="K84" s="1" t="s">
        <v>1086</v>
      </c>
      <c r="L84" s="1">
        <v>1976</v>
      </c>
      <c r="M84" s="1">
        <v>81</v>
      </c>
    </row>
    <row r="85" spans="11:13">
      <c r="K85" s="1" t="s">
        <v>1038</v>
      </c>
      <c r="L85" s="1">
        <v>1976</v>
      </c>
      <c r="M85" s="1">
        <v>232</v>
      </c>
    </row>
    <row r="86" spans="11:13">
      <c r="K86" s="1" t="s">
        <v>973</v>
      </c>
      <c r="L86" s="1">
        <v>1976</v>
      </c>
      <c r="M86" s="1">
        <v>1927</v>
      </c>
    </row>
    <row r="87" spans="11:13">
      <c r="K87" s="1" t="s">
        <v>1072</v>
      </c>
      <c r="L87" s="1">
        <v>1976</v>
      </c>
      <c r="M87" s="1">
        <v>106</v>
      </c>
    </row>
    <row r="88" spans="11:13">
      <c r="K88" s="1" t="s">
        <v>1089</v>
      </c>
      <c r="L88" s="1">
        <v>1972</v>
      </c>
      <c r="M88" s="1">
        <v>78</v>
      </c>
    </row>
    <row r="89" spans="11:13">
      <c r="K89" s="1" t="s">
        <v>1104</v>
      </c>
      <c r="L89" s="1">
        <v>1972</v>
      </c>
      <c r="M89" s="1">
        <v>58</v>
      </c>
    </row>
    <row r="90" spans="11:13">
      <c r="K90" s="1" t="s">
        <v>1122</v>
      </c>
      <c r="L90" s="1">
        <v>1972</v>
      </c>
      <c r="M90" s="1">
        <v>41</v>
      </c>
    </row>
    <row r="91" spans="11:13">
      <c r="K91" s="1" t="s">
        <v>1101</v>
      </c>
      <c r="L91" s="1">
        <v>1972</v>
      </c>
      <c r="M91" s="1">
        <v>63</v>
      </c>
    </row>
    <row r="92" spans="11:13">
      <c r="K92" s="1" t="s">
        <v>1041</v>
      </c>
      <c r="L92" s="1">
        <v>1972</v>
      </c>
      <c r="M92" s="1">
        <v>211</v>
      </c>
    </row>
    <row r="93" spans="11:13">
      <c r="K93" s="1" t="s">
        <v>1033</v>
      </c>
      <c r="L93" s="1">
        <v>1972</v>
      </c>
      <c r="M93" s="1">
        <v>256</v>
      </c>
    </row>
    <row r="94" spans="11:13">
      <c r="K94" s="1" t="s">
        <v>1099</v>
      </c>
      <c r="L94" s="1">
        <v>1972</v>
      </c>
      <c r="M94" s="1">
        <v>66</v>
      </c>
    </row>
    <row r="95" spans="11:13">
      <c r="K95" s="1" t="s">
        <v>1085</v>
      </c>
      <c r="L95" s="1">
        <v>1972</v>
      </c>
      <c r="M95" s="1">
        <v>87</v>
      </c>
    </row>
    <row r="96" spans="11:13">
      <c r="K96" s="1" t="s">
        <v>155</v>
      </c>
      <c r="L96" s="1">
        <v>1972</v>
      </c>
      <c r="M96" s="1">
        <v>28</v>
      </c>
    </row>
    <row r="97" spans="11:13">
      <c r="K97" s="1" t="s">
        <v>1097</v>
      </c>
      <c r="L97" s="1">
        <v>1972</v>
      </c>
      <c r="M97" s="1">
        <v>67</v>
      </c>
    </row>
    <row r="98" spans="11:13">
      <c r="K98" s="1" t="s">
        <v>1107</v>
      </c>
      <c r="L98" s="1">
        <v>1972</v>
      </c>
      <c r="M98" s="1">
        <v>57</v>
      </c>
    </row>
    <row r="99" spans="11:13">
      <c r="K99" s="1" t="s">
        <v>1040</v>
      </c>
      <c r="L99" s="1">
        <v>1968</v>
      </c>
      <c r="M99" s="1">
        <v>219</v>
      </c>
    </row>
    <row r="100" spans="11:13">
      <c r="K100" s="1" t="s">
        <v>1091</v>
      </c>
      <c r="L100" s="1">
        <v>1968</v>
      </c>
      <c r="M100" s="1">
        <v>76</v>
      </c>
    </row>
    <row r="101" spans="11:13" ht="29">
      <c r="K101" s="1" t="s">
        <v>1078</v>
      </c>
      <c r="L101" s="1">
        <v>1968</v>
      </c>
      <c r="M101" s="1">
        <v>93</v>
      </c>
    </row>
    <row r="102" spans="11:13">
      <c r="K102" s="1" t="s">
        <v>1114</v>
      </c>
      <c r="L102" s="1">
        <v>1968</v>
      </c>
      <c r="M102" s="1">
        <v>49</v>
      </c>
    </row>
    <row r="103" spans="11:13">
      <c r="K103" s="1" t="s">
        <v>1048</v>
      </c>
      <c r="L103" s="1">
        <v>1968</v>
      </c>
      <c r="M103" s="1">
        <v>171</v>
      </c>
    </row>
    <row r="104" spans="11:13">
      <c r="K104" s="1" t="s">
        <v>1026</v>
      </c>
      <c r="L104" s="1">
        <v>1968</v>
      </c>
      <c r="M104" s="1">
        <v>290</v>
      </c>
    </row>
    <row r="105" spans="11:13">
      <c r="K105" s="1" t="s">
        <v>1063</v>
      </c>
      <c r="L105" s="1">
        <v>1968</v>
      </c>
      <c r="M105" s="1">
        <v>121</v>
      </c>
    </row>
    <row r="106" spans="11:13">
      <c r="K106" s="1" t="s">
        <v>1061</v>
      </c>
      <c r="L106" s="1">
        <v>1968</v>
      </c>
      <c r="M106" s="1">
        <v>136</v>
      </c>
    </row>
    <row r="107" spans="11:13">
      <c r="K107" s="1" t="s">
        <v>1096</v>
      </c>
      <c r="L107" s="1">
        <v>1968</v>
      </c>
      <c r="M107" s="1">
        <v>67</v>
      </c>
    </row>
    <row r="108" spans="11:13">
      <c r="K108" s="1" t="s">
        <v>1052</v>
      </c>
      <c r="L108" s="1">
        <v>1968</v>
      </c>
      <c r="M108" s="1">
        <v>155</v>
      </c>
    </row>
    <row r="109" spans="11:13">
      <c r="K109" s="1" t="s">
        <v>1083</v>
      </c>
      <c r="L109" s="1">
        <v>1964</v>
      </c>
      <c r="M109" s="1">
        <v>89</v>
      </c>
    </row>
    <row r="110" spans="11:13">
      <c r="K110" s="1" t="s">
        <v>1046</v>
      </c>
      <c r="L110" s="1">
        <v>1964</v>
      </c>
      <c r="M110" s="1">
        <v>180</v>
      </c>
    </row>
    <row r="111" spans="11:13">
      <c r="K111" s="1" t="s">
        <v>1025</v>
      </c>
      <c r="L111" s="1">
        <v>1964</v>
      </c>
      <c r="M111" s="1">
        <v>307</v>
      </c>
    </row>
    <row r="112" spans="11:13">
      <c r="K112" s="1" t="s">
        <v>1032</v>
      </c>
      <c r="L112" s="1">
        <v>1964</v>
      </c>
      <c r="M112" s="1">
        <v>263</v>
      </c>
    </row>
    <row r="113" spans="11:13">
      <c r="K113" s="1" t="s">
        <v>1064</v>
      </c>
      <c r="L113" s="1">
        <v>1964</v>
      </c>
      <c r="M113" s="1">
        <v>120</v>
      </c>
    </row>
    <row r="114" spans="11:13">
      <c r="K114" s="1" t="s">
        <v>1004</v>
      </c>
      <c r="L114" s="1">
        <v>1964</v>
      </c>
      <c r="M114" s="1">
        <v>554</v>
      </c>
    </row>
    <row r="115" spans="11:13">
      <c r="K115" s="1" t="s">
        <v>1084</v>
      </c>
      <c r="L115" s="1">
        <v>1964</v>
      </c>
      <c r="M115" s="1">
        <v>88</v>
      </c>
    </row>
    <row r="116" spans="11:13">
      <c r="K116" s="1" t="s">
        <v>1094</v>
      </c>
      <c r="L116" s="1">
        <v>1964</v>
      </c>
      <c r="M116" s="1">
        <v>69</v>
      </c>
    </row>
    <row r="117" spans="11:13">
      <c r="K117" s="1" t="s">
        <v>993</v>
      </c>
      <c r="L117" s="1">
        <v>1964</v>
      </c>
      <c r="M117" s="1">
        <v>805</v>
      </c>
    </row>
    <row r="118" spans="11:13">
      <c r="K118" s="1" t="s">
        <v>1015</v>
      </c>
      <c r="L118" s="1">
        <v>1964</v>
      </c>
      <c r="M118" s="1">
        <v>378</v>
      </c>
    </row>
    <row r="119" spans="11:13">
      <c r="K119" s="1" t="s">
        <v>1057</v>
      </c>
      <c r="L119" s="1">
        <v>1964</v>
      </c>
      <c r="M119" s="1">
        <v>149</v>
      </c>
    </row>
    <row r="120" spans="11:13">
      <c r="K120" s="1" t="s">
        <v>1054</v>
      </c>
      <c r="L120" s="1">
        <v>1964</v>
      </c>
      <c r="M120" s="1">
        <v>154</v>
      </c>
    </row>
    <row r="121" spans="11:13">
      <c r="K121" s="1" t="s">
        <v>1003</v>
      </c>
      <c r="L121" s="1">
        <v>1960</v>
      </c>
      <c r="M121" s="1">
        <v>555</v>
      </c>
    </row>
    <row r="122" spans="11:13">
      <c r="K122" s="1" t="s">
        <v>1123</v>
      </c>
      <c r="L122" s="1">
        <v>1960</v>
      </c>
      <c r="M122" s="1">
        <v>41</v>
      </c>
    </row>
    <row r="123" spans="11:13">
      <c r="K123" s="1" t="s">
        <v>963</v>
      </c>
      <c r="L123" s="1">
        <v>1960</v>
      </c>
      <c r="M123" s="1">
        <v>3078</v>
      </c>
    </row>
    <row r="124" spans="11:13">
      <c r="K124" s="1" t="s">
        <v>1050</v>
      </c>
      <c r="L124" s="1">
        <v>1960</v>
      </c>
      <c r="M124" s="1">
        <v>158</v>
      </c>
    </row>
    <row r="125" spans="11:13">
      <c r="K125" s="1" t="s">
        <v>1006</v>
      </c>
      <c r="L125" s="1">
        <v>1960</v>
      </c>
      <c r="M125" s="1">
        <v>542</v>
      </c>
    </row>
    <row r="126" spans="11:13" ht="29">
      <c r="K126" s="1" t="s">
        <v>1148</v>
      </c>
      <c r="L126" s="1">
        <v>1960</v>
      </c>
      <c r="M126" s="1">
        <v>13</v>
      </c>
    </row>
    <row r="127" spans="11:13">
      <c r="K127" s="1" t="s">
        <v>1066</v>
      </c>
      <c r="L127" s="1">
        <v>1960</v>
      </c>
      <c r="M127" s="1">
        <v>117</v>
      </c>
    </row>
    <row r="128" spans="11:13">
      <c r="K128" s="1" t="s">
        <v>1045</v>
      </c>
      <c r="L128" s="1">
        <v>1960</v>
      </c>
      <c r="M128" s="1">
        <v>183</v>
      </c>
    </row>
    <row r="129" spans="11:13">
      <c r="K129" s="1" t="s">
        <v>1102</v>
      </c>
      <c r="L129" s="1">
        <v>1960</v>
      </c>
      <c r="M129" s="1">
        <v>63</v>
      </c>
    </row>
    <row r="130" spans="11:13">
      <c r="K130" s="1" t="s">
        <v>1002</v>
      </c>
      <c r="L130" s="1">
        <v>1960</v>
      </c>
      <c r="M130" s="1">
        <v>561</v>
      </c>
    </row>
    <row r="131" spans="11:13">
      <c r="K131" s="1" t="s">
        <v>1103</v>
      </c>
      <c r="L131" s="1">
        <v>1956</v>
      </c>
      <c r="M131" s="1">
        <v>59</v>
      </c>
    </row>
    <row r="132" spans="11:13">
      <c r="K132" s="1" t="s">
        <v>1019</v>
      </c>
      <c r="L132" s="1">
        <v>1956</v>
      </c>
      <c r="M132" s="1">
        <v>360</v>
      </c>
    </row>
    <row r="133" spans="11:13">
      <c r="K133" s="1" t="s">
        <v>1039</v>
      </c>
      <c r="L133" s="1">
        <v>1956</v>
      </c>
      <c r="M133" s="1">
        <v>225</v>
      </c>
    </row>
    <row r="134" spans="11:13">
      <c r="K134" s="1" t="s">
        <v>994</v>
      </c>
      <c r="L134" s="1">
        <v>1956</v>
      </c>
      <c r="M134" s="1">
        <v>739</v>
      </c>
    </row>
    <row r="135" spans="11:13">
      <c r="K135" s="1" t="s">
        <v>1092</v>
      </c>
      <c r="L135" s="1">
        <v>1956</v>
      </c>
      <c r="M135" s="1">
        <v>74</v>
      </c>
    </row>
    <row r="136" spans="11:13">
      <c r="K136" s="1" t="s">
        <v>1133</v>
      </c>
      <c r="L136" s="1">
        <v>1956</v>
      </c>
      <c r="M136" s="1">
        <v>29</v>
      </c>
    </row>
    <row r="137" spans="11:13">
      <c r="K137" s="1" t="s">
        <v>1007</v>
      </c>
      <c r="L137" s="1">
        <v>1956</v>
      </c>
      <c r="M137" s="1">
        <v>536</v>
      </c>
    </row>
    <row r="138" spans="11:13">
      <c r="K138" s="1" t="s">
        <v>154</v>
      </c>
      <c r="L138" s="1">
        <v>1956</v>
      </c>
      <c r="M138" s="1">
        <v>2</v>
      </c>
    </row>
    <row r="139" spans="11:13">
      <c r="K139" s="1" t="s">
        <v>982</v>
      </c>
      <c r="L139" s="1">
        <v>1956</v>
      </c>
      <c r="M139" s="1">
        <v>1082</v>
      </c>
    </row>
    <row r="140" spans="11:13">
      <c r="K140" s="1" t="s">
        <v>1034</v>
      </c>
      <c r="L140" s="1">
        <v>1956</v>
      </c>
      <c r="M140" s="1">
        <v>253</v>
      </c>
    </row>
    <row r="141" spans="11:13" ht="29">
      <c r="K141" s="1" t="s">
        <v>1130</v>
      </c>
      <c r="L141" s="1">
        <v>1956</v>
      </c>
      <c r="M141" s="1">
        <v>36</v>
      </c>
    </row>
    <row r="142" spans="11:13">
      <c r="K142" s="1" t="s">
        <v>1080</v>
      </c>
      <c r="L142" s="1">
        <v>1952</v>
      </c>
      <c r="M142" s="1">
        <v>91</v>
      </c>
    </row>
    <row r="143" spans="11:13">
      <c r="K143" s="1" t="s">
        <v>958</v>
      </c>
      <c r="L143" s="1">
        <v>1952</v>
      </c>
      <c r="M143" s="1">
        <v>3814</v>
      </c>
    </row>
    <row r="144" spans="11:13">
      <c r="K144" s="1" t="s">
        <v>1020</v>
      </c>
      <c r="L144" s="1">
        <v>1952</v>
      </c>
      <c r="M144" s="1">
        <v>354</v>
      </c>
    </row>
    <row r="145" spans="11:13">
      <c r="K145" s="1" t="s">
        <v>997</v>
      </c>
      <c r="L145" s="1">
        <v>1952</v>
      </c>
      <c r="M145" s="1">
        <v>683</v>
      </c>
    </row>
    <row r="146" spans="11:13">
      <c r="K146" s="1" t="s">
        <v>1014</v>
      </c>
      <c r="L146" s="1">
        <v>1952</v>
      </c>
      <c r="M146" s="1">
        <v>402</v>
      </c>
    </row>
    <row r="147" spans="11:13">
      <c r="K147" s="1" t="s">
        <v>998</v>
      </c>
      <c r="L147" s="1">
        <v>1952</v>
      </c>
      <c r="M147" s="1">
        <v>671</v>
      </c>
    </row>
    <row r="148" spans="11:13">
      <c r="K148" s="1" t="s">
        <v>1073</v>
      </c>
      <c r="L148" s="1">
        <v>1952</v>
      </c>
      <c r="M148" s="1">
        <v>103</v>
      </c>
    </row>
    <row r="149" spans="11:13">
      <c r="K149" s="1" t="s">
        <v>990</v>
      </c>
      <c r="L149" s="1">
        <v>1952</v>
      </c>
      <c r="M149" s="1">
        <v>882</v>
      </c>
    </row>
    <row r="150" spans="11:13">
      <c r="K150" s="1" t="s">
        <v>1075</v>
      </c>
      <c r="L150" s="1">
        <v>1952</v>
      </c>
      <c r="M150" s="1">
        <v>96</v>
      </c>
    </row>
    <row r="151" spans="11:13">
      <c r="K151" s="1" t="s">
        <v>996</v>
      </c>
      <c r="L151" s="1">
        <v>1952</v>
      </c>
      <c r="M151" s="1">
        <v>714</v>
      </c>
    </row>
    <row r="152" spans="11:13">
      <c r="K152" s="1" t="s">
        <v>950</v>
      </c>
      <c r="L152" s="1">
        <v>1952</v>
      </c>
      <c r="M152" s="1">
        <v>6171</v>
      </c>
    </row>
    <row r="153" spans="11:13">
      <c r="K153" s="1" t="s">
        <v>1113</v>
      </c>
      <c r="L153" s="1">
        <v>1952</v>
      </c>
      <c r="M153" s="1">
        <v>50</v>
      </c>
    </row>
    <row r="154" spans="11:13">
      <c r="K154" s="1" t="s">
        <v>1017</v>
      </c>
      <c r="L154" s="1">
        <v>1948</v>
      </c>
      <c r="M154" s="1">
        <v>376</v>
      </c>
    </row>
    <row r="155" spans="11:13">
      <c r="K155" s="1" t="s">
        <v>1076</v>
      </c>
      <c r="L155" s="1">
        <v>1948</v>
      </c>
      <c r="M155" s="1">
        <v>95</v>
      </c>
    </row>
    <row r="156" spans="11:13">
      <c r="K156" s="1" t="s">
        <v>995</v>
      </c>
      <c r="L156" s="1">
        <v>1948</v>
      </c>
      <c r="M156" s="1">
        <v>728</v>
      </c>
    </row>
    <row r="157" spans="11:13">
      <c r="K157" s="1" t="s">
        <v>991</v>
      </c>
      <c r="L157" s="1">
        <v>1948</v>
      </c>
      <c r="M157" s="1">
        <v>863</v>
      </c>
    </row>
    <row r="158" spans="11:13">
      <c r="K158" s="1" t="s">
        <v>1028</v>
      </c>
      <c r="L158" s="1">
        <v>1948</v>
      </c>
      <c r="M158" s="1">
        <v>271</v>
      </c>
    </row>
    <row r="159" spans="11:13">
      <c r="K159" s="1" t="s">
        <v>986</v>
      </c>
      <c r="L159" s="1">
        <v>1948</v>
      </c>
      <c r="M159" s="1">
        <v>924</v>
      </c>
    </row>
    <row r="160" spans="11:13">
      <c r="K160" s="1" t="s">
        <v>1059</v>
      </c>
      <c r="L160" s="1">
        <v>1948</v>
      </c>
      <c r="M160" s="1">
        <v>140</v>
      </c>
    </row>
    <row r="161" spans="11:13">
      <c r="K161" s="1" t="s">
        <v>1016</v>
      </c>
      <c r="L161" s="1">
        <v>1948</v>
      </c>
      <c r="M161" s="1">
        <v>377</v>
      </c>
    </row>
    <row r="162" spans="11:13">
      <c r="K162" s="1" t="s">
        <v>1065</v>
      </c>
      <c r="L162" s="1">
        <v>1948</v>
      </c>
      <c r="M162" s="1">
        <v>119</v>
      </c>
    </row>
    <row r="163" spans="11:13">
      <c r="K163" s="1" t="s">
        <v>1021</v>
      </c>
      <c r="L163" s="1">
        <v>1948</v>
      </c>
      <c r="M163" s="1">
        <v>342</v>
      </c>
    </row>
    <row r="164" spans="11:13">
      <c r="K164" s="1" t="s">
        <v>1088</v>
      </c>
      <c r="L164" s="1">
        <v>1936</v>
      </c>
      <c r="M164" s="1">
        <v>78</v>
      </c>
    </row>
    <row r="165" spans="11:13">
      <c r="K165" s="1" t="s">
        <v>1043</v>
      </c>
      <c r="L165" s="1">
        <v>1936</v>
      </c>
      <c r="M165" s="1">
        <v>204</v>
      </c>
    </row>
    <row r="166" spans="11:13">
      <c r="K166" s="1" t="s">
        <v>1056</v>
      </c>
      <c r="L166" s="1">
        <v>1936</v>
      </c>
      <c r="M166" s="1">
        <v>151</v>
      </c>
    </row>
    <row r="167" spans="11:13">
      <c r="K167" s="1" t="s">
        <v>1031</v>
      </c>
      <c r="L167" s="1">
        <v>1936</v>
      </c>
      <c r="M167" s="1">
        <v>263</v>
      </c>
    </row>
    <row r="168" spans="11:13">
      <c r="K168" s="1" t="s">
        <v>956</v>
      </c>
      <c r="L168" s="1">
        <v>1936</v>
      </c>
      <c r="M168" s="1">
        <v>4418</v>
      </c>
    </row>
    <row r="169" spans="11:13">
      <c r="K169" s="1" t="s">
        <v>1018</v>
      </c>
      <c r="L169" s="1">
        <v>1936</v>
      </c>
      <c r="M169" s="1">
        <v>368</v>
      </c>
    </row>
    <row r="170" spans="11:13">
      <c r="K170" s="1" t="s">
        <v>1009</v>
      </c>
      <c r="L170" s="1">
        <v>1936</v>
      </c>
      <c r="M170" s="1">
        <v>519</v>
      </c>
    </row>
    <row r="171" spans="11:13">
      <c r="K171" s="1" t="s">
        <v>953</v>
      </c>
      <c r="L171" s="1">
        <v>1932</v>
      </c>
      <c r="M171" s="1">
        <v>5133</v>
      </c>
    </row>
    <row r="172" spans="11:13">
      <c r="K172" s="1" t="s">
        <v>1042</v>
      </c>
      <c r="L172" s="1">
        <v>1932</v>
      </c>
      <c r="M172" s="1">
        <v>210</v>
      </c>
    </row>
    <row r="173" spans="11:13">
      <c r="K173" s="1" t="s">
        <v>1013</v>
      </c>
      <c r="L173" s="1">
        <v>1932</v>
      </c>
      <c r="M173" s="1">
        <v>424</v>
      </c>
    </row>
    <row r="174" spans="11:13">
      <c r="K174" s="1" t="s">
        <v>988</v>
      </c>
      <c r="L174" s="1">
        <v>1932</v>
      </c>
      <c r="M174" s="1">
        <v>917</v>
      </c>
    </row>
    <row r="175" spans="11:13">
      <c r="K175" s="1" t="s">
        <v>1067</v>
      </c>
      <c r="L175" s="1">
        <v>1928</v>
      </c>
      <c r="M175" s="1">
        <v>114</v>
      </c>
    </row>
    <row r="176" spans="11:13">
      <c r="K176" s="1" t="s">
        <v>1060</v>
      </c>
      <c r="L176" s="1">
        <v>1928</v>
      </c>
      <c r="M176" s="1">
        <v>136</v>
      </c>
    </row>
    <row r="177" spans="11:13">
      <c r="K177" s="1" t="s">
        <v>1023</v>
      </c>
      <c r="L177" s="1">
        <v>1928</v>
      </c>
      <c r="M177" s="1">
        <v>311</v>
      </c>
    </row>
    <row r="178" spans="11:13">
      <c r="K178" s="1" t="s">
        <v>961</v>
      </c>
      <c r="L178" s="1">
        <v>1924</v>
      </c>
      <c r="M178" s="1">
        <v>3508</v>
      </c>
    </row>
    <row r="179" spans="11:13">
      <c r="K179" s="1" t="s">
        <v>1027</v>
      </c>
      <c r="L179" s="1">
        <v>1924</v>
      </c>
      <c r="M179" s="1">
        <v>274</v>
      </c>
    </row>
    <row r="180" spans="11:13">
      <c r="K180" s="1" t="s">
        <v>999</v>
      </c>
      <c r="L180" s="1">
        <v>1924</v>
      </c>
      <c r="M180" s="1">
        <v>658</v>
      </c>
    </row>
    <row r="181" spans="11:13">
      <c r="K181" s="1" t="s">
        <v>1000</v>
      </c>
      <c r="L181" s="1">
        <v>1924</v>
      </c>
      <c r="M181" s="1">
        <v>631</v>
      </c>
    </row>
    <row r="182" spans="11:13">
      <c r="K182" s="1" t="s">
        <v>1005</v>
      </c>
      <c r="L182" s="1">
        <v>1924</v>
      </c>
      <c r="M182" s="1">
        <v>544</v>
      </c>
    </row>
    <row r="183" spans="11:13">
      <c r="K183" s="1" t="s">
        <v>977</v>
      </c>
      <c r="L183" s="1">
        <v>1920</v>
      </c>
      <c r="M183" s="1">
        <v>1445</v>
      </c>
    </row>
    <row r="184" spans="11:13">
      <c r="K184" s="1" t="s">
        <v>978</v>
      </c>
      <c r="L184" s="1">
        <v>1920</v>
      </c>
      <c r="M184" s="1">
        <v>1229</v>
      </c>
    </row>
    <row r="185" spans="11:13">
      <c r="K185" s="1" t="s">
        <v>1044</v>
      </c>
      <c r="L185" s="1">
        <v>1920</v>
      </c>
      <c r="M185" s="1">
        <v>191</v>
      </c>
    </row>
    <row r="186" spans="11:13">
      <c r="K186" s="1" t="s">
        <v>967</v>
      </c>
      <c r="L186" s="1">
        <v>1920</v>
      </c>
      <c r="M186" s="1">
        <v>2642</v>
      </c>
    </row>
    <row r="187" spans="11:13">
      <c r="K187" s="1" t="s">
        <v>992</v>
      </c>
      <c r="L187" s="1">
        <v>1912</v>
      </c>
      <c r="M187" s="1">
        <v>841</v>
      </c>
    </row>
    <row r="188" spans="11:13">
      <c r="K188" s="1" t="s">
        <v>989</v>
      </c>
      <c r="L188" s="1">
        <v>1912</v>
      </c>
      <c r="M188" s="1">
        <v>892</v>
      </c>
    </row>
    <row r="189" spans="11:13">
      <c r="K189" s="1" t="s">
        <v>946</v>
      </c>
      <c r="L189" s="1">
        <v>1912</v>
      </c>
      <c r="M189" s="1">
        <v>8331</v>
      </c>
    </row>
    <row r="190" spans="11:13">
      <c r="K190" s="1" t="s">
        <v>985</v>
      </c>
      <c r="L190" s="1">
        <v>1912</v>
      </c>
      <c r="M190" s="1">
        <v>942</v>
      </c>
    </row>
    <row r="191" spans="11:13">
      <c r="K191" s="1" t="s">
        <v>949</v>
      </c>
      <c r="L191" s="1">
        <v>1912</v>
      </c>
      <c r="M191" s="1">
        <v>6209</v>
      </c>
    </row>
    <row r="192" spans="11:13">
      <c r="K192" s="1" t="s">
        <v>976</v>
      </c>
      <c r="L192" s="1">
        <v>1912</v>
      </c>
      <c r="M192" s="1">
        <v>1478</v>
      </c>
    </row>
    <row r="193" spans="11:13">
      <c r="K193" s="1" t="s">
        <v>1011</v>
      </c>
      <c r="L193" s="1">
        <v>1912</v>
      </c>
      <c r="M193" s="1">
        <v>483</v>
      </c>
    </row>
    <row r="194" spans="11:13">
      <c r="K194" s="1" t="s">
        <v>1001</v>
      </c>
      <c r="L194" s="1">
        <v>1908</v>
      </c>
      <c r="M194" s="1">
        <v>627</v>
      </c>
    </row>
    <row r="195" spans="11:13">
      <c r="K195" s="1" t="s">
        <v>974</v>
      </c>
      <c r="L195" s="1">
        <v>1908</v>
      </c>
      <c r="M195" s="1">
        <v>1645</v>
      </c>
    </row>
    <row r="196" spans="11:13">
      <c r="K196" s="1" t="s">
        <v>1077</v>
      </c>
      <c r="L196" s="1">
        <v>1906</v>
      </c>
      <c r="M196" s="1">
        <v>94</v>
      </c>
    </row>
    <row r="197" spans="11:13">
      <c r="K197" s="1" t="s">
        <v>932</v>
      </c>
      <c r="L197" s="1">
        <v>1906</v>
      </c>
      <c r="M197" s="1">
        <v>5473</v>
      </c>
    </row>
    <row r="198" spans="11:13">
      <c r="K198" s="1" t="s">
        <v>979</v>
      </c>
      <c r="L198" s="1">
        <v>1906</v>
      </c>
      <c r="M198" s="1">
        <v>1210</v>
      </c>
    </row>
    <row r="199" spans="11:13">
      <c r="K199" s="1" t="s">
        <v>153</v>
      </c>
      <c r="L199" s="1">
        <v>1904</v>
      </c>
      <c r="M199" s="1">
        <v>2</v>
      </c>
    </row>
    <row r="200" spans="11:13">
      <c r="K200" s="1" t="s">
        <v>964</v>
      </c>
      <c r="L200" s="1">
        <v>1900</v>
      </c>
      <c r="M200" s="1">
        <v>3073</v>
      </c>
    </row>
    <row r="201" spans="11:13">
      <c r="K201" s="1" t="s">
        <v>962</v>
      </c>
      <c r="L201" s="1">
        <v>1900</v>
      </c>
      <c r="M201" s="1">
        <v>3256</v>
      </c>
    </row>
    <row r="202" spans="11:13">
      <c r="K202" s="1" t="s">
        <v>1055</v>
      </c>
      <c r="L202" s="1">
        <v>1900</v>
      </c>
      <c r="M202" s="1">
        <v>151</v>
      </c>
    </row>
    <row r="203" spans="11:13">
      <c r="K203" s="1" t="s">
        <v>959</v>
      </c>
      <c r="L203" s="1">
        <v>1900</v>
      </c>
      <c r="M203" s="1">
        <v>3797</v>
      </c>
    </row>
    <row r="204" spans="11:13">
      <c r="K204" s="1" t="s">
        <v>931</v>
      </c>
      <c r="L204" s="1">
        <v>1900</v>
      </c>
      <c r="M204" s="1">
        <v>9540</v>
      </c>
    </row>
    <row r="205" spans="11:13">
      <c r="K205" s="1" t="s">
        <v>983</v>
      </c>
      <c r="L205" s="1">
        <v>1900</v>
      </c>
      <c r="M205" s="1">
        <v>1032</v>
      </c>
    </row>
    <row r="206" spans="11:13">
      <c r="K206" s="1" t="s">
        <v>968</v>
      </c>
      <c r="L206" s="1">
        <v>1900</v>
      </c>
      <c r="M206" s="1">
        <v>2491</v>
      </c>
    </row>
    <row r="207" spans="11:13">
      <c r="K207" s="1" t="s">
        <v>952</v>
      </c>
      <c r="L207" s="1">
        <v>1900</v>
      </c>
      <c r="M207" s="1">
        <v>5312</v>
      </c>
    </row>
    <row r="208" spans="11:13">
      <c r="K208" s="1" t="s">
        <v>1081</v>
      </c>
      <c r="L208" s="1">
        <v>1900</v>
      </c>
      <c r="M208" s="1">
        <v>90</v>
      </c>
    </row>
    <row r="209" spans="11:13">
      <c r="K209" s="1" t="s">
        <v>933</v>
      </c>
      <c r="L209" s="1">
        <v>1900</v>
      </c>
      <c r="M209" s="1">
        <v>1263</v>
      </c>
    </row>
    <row r="210" spans="11:13">
      <c r="K210" s="1" t="s">
        <v>945</v>
      </c>
      <c r="L210" s="1">
        <v>1900</v>
      </c>
      <c r="M210" s="1">
        <v>10355</v>
      </c>
    </row>
    <row r="211" spans="11:13">
      <c r="K211" s="1" t="s">
        <v>984</v>
      </c>
      <c r="L211" s="1">
        <v>1900</v>
      </c>
      <c r="M211" s="1">
        <v>975</v>
      </c>
    </row>
    <row r="212" spans="11:13">
      <c r="K212" s="1" t="s">
        <v>966</v>
      </c>
      <c r="L212" s="1">
        <v>1900</v>
      </c>
      <c r="M212" s="1">
        <v>2683</v>
      </c>
    </row>
    <row r="213" spans="11:13">
      <c r="K213" s="1" t="s">
        <v>937</v>
      </c>
      <c r="L213" s="1">
        <v>1900</v>
      </c>
      <c r="M213" s="1">
        <v>5880</v>
      </c>
    </row>
    <row r="214" spans="11:13">
      <c r="K214" s="1" t="s">
        <v>955</v>
      </c>
      <c r="L214" s="1">
        <v>1900</v>
      </c>
      <c r="M214" s="1">
        <v>4969</v>
      </c>
    </row>
    <row r="215" spans="11:13">
      <c r="K215" s="1" t="s">
        <v>969</v>
      </c>
      <c r="L215" s="1">
        <v>1900</v>
      </c>
      <c r="M215" s="1">
        <v>2346</v>
      </c>
    </row>
    <row r="216" spans="11:13">
      <c r="K216" s="1" t="s">
        <v>1010</v>
      </c>
      <c r="L216" s="1">
        <v>1900</v>
      </c>
      <c r="M216" s="1">
        <v>502</v>
      </c>
    </row>
    <row r="217" spans="11:13">
      <c r="K217" s="1" t="s">
        <v>957</v>
      </c>
      <c r="L217" s="1">
        <v>1900</v>
      </c>
      <c r="M217" s="1">
        <v>4358</v>
      </c>
    </row>
    <row r="218" spans="11:13">
      <c r="K218" s="1" t="s">
        <v>951</v>
      </c>
      <c r="L218" s="1">
        <v>1900</v>
      </c>
      <c r="M218" s="1">
        <v>5563</v>
      </c>
    </row>
    <row r="219" spans="11:13">
      <c r="K219" s="1" t="s">
        <v>935</v>
      </c>
      <c r="L219" s="1">
        <v>1900</v>
      </c>
      <c r="M219" s="1">
        <v>4516</v>
      </c>
    </row>
    <row r="220" spans="11:13">
      <c r="K220" s="1" t="s">
        <v>947</v>
      </c>
      <c r="L220" s="1">
        <v>1896</v>
      </c>
      <c r="M220" s="1">
        <v>7584</v>
      </c>
    </row>
    <row r="221" spans="11:13">
      <c r="K221" s="1" t="s">
        <v>954</v>
      </c>
      <c r="L221" s="1">
        <v>1896</v>
      </c>
      <c r="M221" s="1">
        <v>5016</v>
      </c>
    </row>
    <row r="222" spans="11:13">
      <c r="K222" s="1" t="s">
        <v>960</v>
      </c>
      <c r="L222" s="1">
        <v>1896</v>
      </c>
      <c r="M222" s="1">
        <v>3572</v>
      </c>
    </row>
    <row r="223" spans="11:13">
      <c r="K223" s="1" t="s">
        <v>943</v>
      </c>
      <c r="L223" s="1">
        <v>1896</v>
      </c>
      <c r="M223" s="1">
        <v>11475</v>
      </c>
    </row>
    <row r="224" spans="11:13">
      <c r="K224" s="1" t="s">
        <v>934</v>
      </c>
      <c r="L224" s="1">
        <v>1896</v>
      </c>
      <c r="M224" s="1">
        <v>11536</v>
      </c>
    </row>
    <row r="225" spans="11:13">
      <c r="K225" s="1" t="s">
        <v>944</v>
      </c>
      <c r="L225" s="1">
        <v>1896</v>
      </c>
      <c r="M225" s="1">
        <v>10496</v>
      </c>
    </row>
    <row r="226" spans="11:13">
      <c r="K226" s="1" t="s">
        <v>970</v>
      </c>
      <c r="L226" s="1">
        <v>1896</v>
      </c>
      <c r="M226" s="1">
        <v>2222</v>
      </c>
    </row>
    <row r="227" spans="11:13">
      <c r="K227" s="1" t="s">
        <v>948</v>
      </c>
      <c r="L227" s="1">
        <v>1896</v>
      </c>
      <c r="M227" s="1">
        <v>6514</v>
      </c>
    </row>
    <row r="228" spans="11:13">
      <c r="K228" s="1" t="s">
        <v>936</v>
      </c>
      <c r="L228" s="1">
        <v>1896</v>
      </c>
      <c r="M228" s="1">
        <v>5832</v>
      </c>
    </row>
    <row r="229" spans="11:13">
      <c r="K229" s="1" t="s">
        <v>929</v>
      </c>
      <c r="L229" s="1">
        <v>1896</v>
      </c>
      <c r="M229" s="1">
        <v>8335</v>
      </c>
    </row>
    <row r="230" spans="11:13">
      <c r="K230" s="1" t="s">
        <v>930</v>
      </c>
      <c r="L230" s="1">
        <v>1896</v>
      </c>
      <c r="M230" s="1">
        <v>18127</v>
      </c>
    </row>
  </sheetData>
  <mergeCells count="3">
    <mergeCell ref="B2:I3"/>
    <mergeCell ref="B5:I21"/>
    <mergeCell ref="B23:I25"/>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A621-2FC1-4E05-BA3B-C2FDB79F36EE}">
  <dimension ref="B2:N27"/>
  <sheetViews>
    <sheetView workbookViewId="0">
      <selection activeCell="J9" sqref="J9:N14"/>
    </sheetView>
  </sheetViews>
  <sheetFormatPr defaultRowHeight="14.5"/>
  <cols>
    <col min="11" max="11" width="17.7265625" bestFit="1" customWidth="1"/>
    <col min="12" max="12" width="13.26953125" customWidth="1"/>
    <col min="13" max="13" width="21.08984375" customWidth="1"/>
    <col min="14" max="14" width="18.6328125" customWidth="1"/>
    <col min="15" max="15" width="13.08984375" customWidth="1"/>
  </cols>
  <sheetData>
    <row r="2" spans="2:14">
      <c r="B2" s="42" t="s">
        <v>1174</v>
      </c>
      <c r="C2" s="42"/>
      <c r="D2" s="42"/>
      <c r="E2" s="42"/>
      <c r="F2" s="42"/>
      <c r="G2" s="42"/>
      <c r="H2" s="42"/>
      <c r="I2" s="42"/>
      <c r="J2" t="s">
        <v>1175</v>
      </c>
      <c r="K2" t="s">
        <v>1176</v>
      </c>
      <c r="L2" t="s">
        <v>1177</v>
      </c>
      <c r="M2" t="s">
        <v>1178</v>
      </c>
      <c r="N2" t="s">
        <v>1179</v>
      </c>
    </row>
    <row r="3" spans="2:14">
      <c r="B3" s="42"/>
      <c r="C3" s="42"/>
      <c r="D3" s="42"/>
      <c r="E3" s="42"/>
      <c r="F3" s="42"/>
      <c r="G3" s="42"/>
      <c r="H3" s="42"/>
      <c r="I3" s="42"/>
      <c r="J3" s="1" t="s">
        <v>947</v>
      </c>
      <c r="K3" s="1">
        <v>2000</v>
      </c>
      <c r="L3" s="1">
        <v>620</v>
      </c>
      <c r="M3" s="1">
        <v>23</v>
      </c>
      <c r="N3" s="1">
        <v>597</v>
      </c>
    </row>
    <row r="4" spans="2:14">
      <c r="B4" s="42"/>
      <c r="C4" s="42"/>
      <c r="D4" s="42"/>
      <c r="E4" s="42"/>
      <c r="F4" s="42"/>
      <c r="G4" s="42"/>
      <c r="H4" s="42"/>
      <c r="I4" s="42"/>
      <c r="J4" s="1" t="s">
        <v>947</v>
      </c>
      <c r="K4" s="1">
        <v>2002</v>
      </c>
      <c r="L4" s="1">
        <v>25</v>
      </c>
      <c r="M4" s="1">
        <v>620</v>
      </c>
      <c r="N4" s="1">
        <v>595</v>
      </c>
    </row>
    <row r="5" spans="2:14" ht="29">
      <c r="B5" s="55" t="s">
        <v>1180</v>
      </c>
      <c r="C5" s="55"/>
      <c r="D5" s="55"/>
      <c r="E5" s="55"/>
      <c r="F5" s="55"/>
      <c r="G5" s="55"/>
      <c r="H5" s="55"/>
      <c r="I5" s="55"/>
      <c r="J5" s="1" t="s">
        <v>973</v>
      </c>
      <c r="K5" s="1">
        <v>1994</v>
      </c>
      <c r="L5" s="1">
        <v>62</v>
      </c>
      <c r="M5" s="1">
        <v>601</v>
      </c>
      <c r="N5" s="1">
        <v>539</v>
      </c>
    </row>
    <row r="6" spans="2:14">
      <c r="B6" s="55"/>
      <c r="C6" s="55"/>
      <c r="D6" s="55"/>
      <c r="E6" s="55"/>
      <c r="F6" s="55"/>
      <c r="G6" s="55"/>
      <c r="H6" s="55"/>
      <c r="I6" s="55"/>
      <c r="J6" s="1" t="s">
        <v>930</v>
      </c>
      <c r="K6" s="1">
        <v>1994</v>
      </c>
      <c r="L6" s="1">
        <v>148</v>
      </c>
      <c r="M6" s="1">
        <v>685</v>
      </c>
      <c r="N6" s="1">
        <v>537</v>
      </c>
    </row>
    <row r="7" spans="2:14">
      <c r="B7" s="55"/>
      <c r="C7" s="55"/>
      <c r="D7" s="55"/>
      <c r="E7" s="55"/>
      <c r="F7" s="55"/>
      <c r="G7" s="55"/>
      <c r="H7" s="55"/>
      <c r="I7" s="55"/>
      <c r="J7" s="1" t="s">
        <v>953</v>
      </c>
      <c r="K7" s="1">
        <v>2008</v>
      </c>
      <c r="L7" s="1">
        <v>601</v>
      </c>
      <c r="M7" s="1">
        <v>73</v>
      </c>
      <c r="N7" s="1">
        <v>528</v>
      </c>
    </row>
    <row r="8" spans="2:14">
      <c r="B8" s="55"/>
      <c r="C8" s="55"/>
      <c r="D8" s="55"/>
      <c r="E8" s="55"/>
      <c r="F8" s="55"/>
      <c r="G8" s="55"/>
      <c r="H8" s="55"/>
      <c r="I8" s="55"/>
    </row>
    <row r="9" spans="2:14">
      <c r="B9" s="55"/>
      <c r="C9" s="55"/>
      <c r="D9" s="55"/>
      <c r="E9" s="55"/>
      <c r="F9" s="55"/>
      <c r="G9" s="55"/>
      <c r="H9" s="55"/>
      <c r="I9" s="55"/>
      <c r="J9" s="56" t="s">
        <v>1181</v>
      </c>
      <c r="K9" s="56"/>
      <c r="L9" s="56"/>
      <c r="M9" s="56"/>
      <c r="N9" s="56"/>
    </row>
    <row r="10" spans="2:14">
      <c r="B10" s="55"/>
      <c r="C10" s="55"/>
      <c r="D10" s="55"/>
      <c r="E10" s="55"/>
      <c r="F10" s="55"/>
      <c r="G10" s="55"/>
      <c r="H10" s="55"/>
      <c r="I10" s="55"/>
      <c r="J10" s="56"/>
      <c r="K10" s="56"/>
      <c r="L10" s="56"/>
      <c r="M10" s="56"/>
      <c r="N10" s="56"/>
    </row>
    <row r="11" spans="2:14">
      <c r="B11" s="55"/>
      <c r="C11" s="55"/>
      <c r="D11" s="55"/>
      <c r="E11" s="55"/>
      <c r="F11" s="55"/>
      <c r="G11" s="55"/>
      <c r="H11" s="55"/>
      <c r="I11" s="55"/>
      <c r="J11" s="56"/>
      <c r="K11" s="56"/>
      <c r="L11" s="56"/>
      <c r="M11" s="56"/>
      <c r="N11" s="56"/>
    </row>
    <row r="12" spans="2:14">
      <c r="B12" s="55"/>
      <c r="C12" s="55"/>
      <c r="D12" s="55"/>
      <c r="E12" s="55"/>
      <c r="F12" s="55"/>
      <c r="G12" s="55"/>
      <c r="H12" s="55"/>
      <c r="I12" s="55"/>
      <c r="J12" s="56"/>
      <c r="K12" s="56"/>
      <c r="L12" s="56"/>
      <c r="M12" s="56"/>
      <c r="N12" s="56"/>
    </row>
    <row r="13" spans="2:14">
      <c r="B13" s="55"/>
      <c r="C13" s="55"/>
      <c r="D13" s="55"/>
      <c r="E13" s="55"/>
      <c r="F13" s="55"/>
      <c r="G13" s="55"/>
      <c r="H13" s="55"/>
      <c r="I13" s="55"/>
      <c r="J13" s="56"/>
      <c r="K13" s="56"/>
      <c r="L13" s="56"/>
      <c r="M13" s="56"/>
      <c r="N13" s="56"/>
    </row>
    <row r="14" spans="2:14">
      <c r="B14" s="55"/>
      <c r="C14" s="55"/>
      <c r="D14" s="55"/>
      <c r="E14" s="55"/>
      <c r="F14" s="55"/>
      <c r="G14" s="55"/>
      <c r="H14" s="55"/>
      <c r="I14" s="55"/>
      <c r="J14" s="56"/>
      <c r="K14" s="56"/>
      <c r="L14" s="56"/>
      <c r="M14" s="56"/>
      <c r="N14" s="56"/>
    </row>
    <row r="15" spans="2:14">
      <c r="B15" s="55"/>
      <c r="C15" s="55"/>
      <c r="D15" s="55"/>
      <c r="E15" s="55"/>
      <c r="F15" s="55"/>
      <c r="G15" s="55"/>
      <c r="H15" s="55"/>
      <c r="I15" s="55"/>
    </row>
    <row r="16" spans="2:14">
      <c r="B16" s="55"/>
      <c r="C16" s="55"/>
      <c r="D16" s="55"/>
      <c r="E16" s="55"/>
      <c r="F16" s="55"/>
      <c r="G16" s="55"/>
      <c r="H16" s="55"/>
      <c r="I16" s="55"/>
    </row>
    <row r="17" spans="2:9">
      <c r="B17" s="55"/>
      <c r="C17" s="55"/>
      <c r="D17" s="55"/>
      <c r="E17" s="55"/>
      <c r="F17" s="55"/>
      <c r="G17" s="55"/>
      <c r="H17" s="55"/>
      <c r="I17" s="55"/>
    </row>
    <row r="18" spans="2:9">
      <c r="B18" s="55"/>
      <c r="C18" s="55"/>
      <c r="D18" s="55"/>
      <c r="E18" s="55"/>
      <c r="F18" s="55"/>
      <c r="G18" s="55"/>
      <c r="H18" s="55"/>
      <c r="I18" s="55"/>
    </row>
    <row r="19" spans="2:9">
      <c r="B19" s="55"/>
      <c r="C19" s="55"/>
      <c r="D19" s="55"/>
      <c r="E19" s="55"/>
      <c r="F19" s="55"/>
      <c r="G19" s="55"/>
      <c r="H19" s="55"/>
      <c r="I19" s="55"/>
    </row>
    <row r="20" spans="2:9">
      <c r="B20" s="55"/>
      <c r="C20" s="55"/>
      <c r="D20" s="55"/>
      <c r="E20" s="55"/>
      <c r="F20" s="55"/>
      <c r="G20" s="55"/>
      <c r="H20" s="55"/>
      <c r="I20" s="55"/>
    </row>
    <row r="21" spans="2:9">
      <c r="B21" s="55"/>
      <c r="C21" s="55"/>
      <c r="D21" s="55"/>
      <c r="E21" s="55"/>
      <c r="F21" s="55"/>
      <c r="G21" s="55"/>
      <c r="H21" s="55"/>
      <c r="I21" s="55"/>
    </row>
    <row r="22" spans="2:9">
      <c r="B22" s="55"/>
      <c r="C22" s="55"/>
      <c r="D22" s="55"/>
      <c r="E22" s="55"/>
      <c r="F22" s="55"/>
      <c r="G22" s="55"/>
      <c r="H22" s="55"/>
      <c r="I22" s="55"/>
    </row>
    <row r="23" spans="2:9">
      <c r="B23" s="55"/>
      <c r="C23" s="55"/>
      <c r="D23" s="55"/>
      <c r="E23" s="55"/>
      <c r="F23" s="55"/>
      <c r="G23" s="55"/>
      <c r="H23" s="55"/>
      <c r="I23" s="55"/>
    </row>
    <row r="24" spans="2:9">
      <c r="B24" s="55"/>
      <c r="C24" s="55"/>
      <c r="D24" s="55"/>
      <c r="E24" s="55"/>
      <c r="F24" s="55"/>
      <c r="G24" s="55"/>
      <c r="H24" s="55"/>
      <c r="I24" s="55"/>
    </row>
    <row r="25" spans="2:9">
      <c r="B25" s="55"/>
      <c r="C25" s="55"/>
      <c r="D25" s="55"/>
      <c r="E25" s="55"/>
      <c r="F25" s="55"/>
      <c r="G25" s="55"/>
      <c r="H25" s="55"/>
      <c r="I25" s="55"/>
    </row>
    <row r="26" spans="2:9">
      <c r="B26" s="55"/>
      <c r="C26" s="55"/>
      <c r="D26" s="55"/>
      <c r="E26" s="55"/>
      <c r="F26" s="55"/>
      <c r="G26" s="55"/>
      <c r="H26" s="55"/>
      <c r="I26" s="55"/>
    </row>
    <row r="27" spans="2:9">
      <c r="B27" s="55"/>
      <c r="C27" s="55"/>
      <c r="D27" s="55"/>
      <c r="E27" s="55"/>
      <c r="F27" s="55"/>
      <c r="G27" s="55"/>
      <c r="H27" s="55"/>
      <c r="I27" s="55"/>
    </row>
  </sheetData>
  <mergeCells count="3">
    <mergeCell ref="B2:I4"/>
    <mergeCell ref="B5:I27"/>
    <mergeCell ref="J9:N14"/>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E9D7-502A-4816-BC86-B6FC6C0B8254}">
  <dimension ref="B2:P27"/>
  <sheetViews>
    <sheetView topLeftCell="C1" workbookViewId="0">
      <selection activeCell="J14" sqref="J14:O21"/>
    </sheetView>
  </sheetViews>
  <sheetFormatPr defaultRowHeight="14.5"/>
  <cols>
    <col min="10" max="10" width="13.81640625" customWidth="1"/>
    <col min="11" max="11" width="13.453125" customWidth="1"/>
    <col min="12" max="12" width="17.453125" customWidth="1"/>
    <col min="13" max="13" width="15.1796875" customWidth="1"/>
    <col min="14" max="14" width="15.54296875" customWidth="1"/>
    <col min="15" max="15" width="11.36328125" bestFit="1" customWidth="1"/>
    <col min="16" max="16" width="14.26953125" customWidth="1"/>
  </cols>
  <sheetData>
    <row r="2" spans="2:16">
      <c r="B2" s="29" t="s">
        <v>1182</v>
      </c>
      <c r="C2" s="29"/>
      <c r="D2" s="29"/>
      <c r="E2" s="29"/>
      <c r="F2" s="29"/>
      <c r="G2" s="29"/>
      <c r="H2" s="29"/>
      <c r="I2" s="29"/>
      <c r="J2" t="s">
        <v>158</v>
      </c>
      <c r="K2" t="s">
        <v>159</v>
      </c>
      <c r="L2" t="s">
        <v>1183</v>
      </c>
      <c r="M2" t="s">
        <v>1185</v>
      </c>
      <c r="N2" t="s">
        <v>1186</v>
      </c>
      <c r="O2" t="s">
        <v>1187</v>
      </c>
      <c r="P2" t="s">
        <v>939</v>
      </c>
    </row>
    <row r="3" spans="2:16">
      <c r="B3" s="29"/>
      <c r="C3" s="29"/>
      <c r="D3" s="29"/>
      <c r="E3" s="29"/>
      <c r="F3" s="29"/>
      <c r="G3" s="29"/>
      <c r="H3" s="29"/>
      <c r="I3" s="29"/>
      <c r="J3" s="1" t="s">
        <v>930</v>
      </c>
      <c r="K3" s="1" t="s">
        <v>131</v>
      </c>
      <c r="L3" s="1">
        <v>1837</v>
      </c>
      <c r="M3" s="1">
        <v>167.1472</v>
      </c>
      <c r="N3" s="1">
        <v>67.474900000000005</v>
      </c>
      <c r="O3" s="1">
        <v>24.151496045626001</v>
      </c>
      <c r="P3" s="1">
        <v>3104</v>
      </c>
    </row>
    <row r="4" spans="2:16">
      <c r="J4" s="1" t="s">
        <v>934</v>
      </c>
      <c r="K4" s="1" t="s">
        <v>131</v>
      </c>
      <c r="L4" s="1">
        <v>1211</v>
      </c>
      <c r="M4" s="1">
        <v>133.643</v>
      </c>
      <c r="N4" s="1">
        <v>52.171700000000001</v>
      </c>
      <c r="O4" s="1">
        <v>29.210739800712599</v>
      </c>
      <c r="P4" s="1">
        <v>2196</v>
      </c>
    </row>
    <row r="5" spans="2:16">
      <c r="B5" s="57" t="s">
        <v>1184</v>
      </c>
      <c r="C5" s="58"/>
      <c r="D5" s="58"/>
      <c r="E5" s="58"/>
      <c r="F5" s="58"/>
      <c r="G5" s="58"/>
      <c r="H5" s="58"/>
      <c r="I5" s="58"/>
      <c r="J5" s="1" t="s">
        <v>930</v>
      </c>
      <c r="K5" s="1" t="s">
        <v>128</v>
      </c>
      <c r="L5" s="1">
        <v>275</v>
      </c>
      <c r="M5" s="1">
        <v>108.90819999999999</v>
      </c>
      <c r="N5" s="1">
        <v>35.1235</v>
      </c>
      <c r="O5" s="1">
        <v>29.612605821075402</v>
      </c>
      <c r="P5" s="1">
        <v>1830</v>
      </c>
    </row>
    <row r="6" spans="2:16">
      <c r="B6" s="58"/>
      <c r="C6" s="58"/>
      <c r="D6" s="58"/>
      <c r="E6" s="58"/>
      <c r="F6" s="58"/>
      <c r="G6" s="58"/>
      <c r="H6" s="58"/>
      <c r="I6" s="58"/>
      <c r="J6" s="1" t="s">
        <v>930</v>
      </c>
      <c r="K6" s="1" t="s">
        <v>129</v>
      </c>
      <c r="L6" s="1">
        <v>678</v>
      </c>
      <c r="M6" s="1">
        <v>152.8828</v>
      </c>
      <c r="N6" s="1">
        <v>60.204599999999999</v>
      </c>
      <c r="O6" s="1">
        <v>25.758016621543199</v>
      </c>
      <c r="P6" s="1">
        <v>1579</v>
      </c>
    </row>
    <row r="7" spans="2:16">
      <c r="B7" s="58"/>
      <c r="C7" s="58"/>
      <c r="D7" s="58"/>
      <c r="E7" s="58"/>
      <c r="F7" s="58"/>
      <c r="G7" s="58"/>
      <c r="H7" s="58"/>
      <c r="I7" s="58"/>
      <c r="J7" s="1" t="s">
        <v>943</v>
      </c>
      <c r="K7" s="1" t="s">
        <v>131</v>
      </c>
      <c r="L7" s="1">
        <v>798</v>
      </c>
      <c r="M7" s="1">
        <v>141.00200000000001</v>
      </c>
      <c r="N7" s="1">
        <v>53.684399999999997</v>
      </c>
      <c r="O7" s="1">
        <v>27.002101036517601</v>
      </c>
      <c r="P7" s="1">
        <v>1464</v>
      </c>
    </row>
    <row r="8" spans="2:16">
      <c r="B8" s="58"/>
      <c r="C8" s="58"/>
      <c r="D8" s="58"/>
      <c r="E8" s="58"/>
      <c r="F8" s="58"/>
      <c r="G8" s="58"/>
      <c r="H8" s="58"/>
      <c r="I8" s="58"/>
      <c r="J8" s="1" t="s">
        <v>943</v>
      </c>
      <c r="K8" s="1" t="s">
        <v>128</v>
      </c>
      <c r="L8" s="1">
        <v>201</v>
      </c>
      <c r="M8" s="1">
        <v>111.58499999999999</v>
      </c>
      <c r="N8" s="1">
        <v>39.485199999999999</v>
      </c>
      <c r="O8" s="1">
        <v>31.711932369701401</v>
      </c>
      <c r="P8" s="1">
        <v>1383</v>
      </c>
    </row>
    <row r="9" spans="2:16">
      <c r="B9" s="58"/>
      <c r="C9" s="58"/>
      <c r="D9" s="58"/>
      <c r="E9" s="58"/>
      <c r="F9" s="58"/>
      <c r="G9" s="58"/>
      <c r="H9" s="58"/>
      <c r="I9" s="58"/>
      <c r="J9" s="1" t="s">
        <v>944</v>
      </c>
      <c r="K9" s="1" t="s">
        <v>131</v>
      </c>
      <c r="L9" s="1">
        <v>764</v>
      </c>
      <c r="M9" s="1">
        <v>167.661</v>
      </c>
      <c r="N9" s="1">
        <v>68.298100000000005</v>
      </c>
      <c r="O9" s="1">
        <v>24.296544836302601</v>
      </c>
      <c r="P9" s="1">
        <v>1345</v>
      </c>
    </row>
    <row r="10" spans="2:16">
      <c r="B10" s="58"/>
      <c r="C10" s="58"/>
      <c r="D10" s="58"/>
      <c r="E10" s="58"/>
      <c r="F10" s="58"/>
      <c r="G10" s="58"/>
      <c r="H10" s="58"/>
      <c r="I10" s="58"/>
      <c r="J10" s="1" t="s">
        <v>945</v>
      </c>
      <c r="K10" s="1" t="s">
        <v>128</v>
      </c>
      <c r="L10" s="1">
        <v>204</v>
      </c>
      <c r="M10" s="1">
        <v>105.6</v>
      </c>
      <c r="N10" s="1">
        <v>34.000700000000002</v>
      </c>
      <c r="O10" s="1">
        <v>30.490182363406799</v>
      </c>
      <c r="P10" s="1">
        <v>1335</v>
      </c>
    </row>
    <row r="11" spans="2:16">
      <c r="B11" s="58"/>
      <c r="C11" s="58"/>
      <c r="D11" s="58"/>
      <c r="E11" s="58"/>
      <c r="F11" s="58"/>
      <c r="G11" s="58"/>
      <c r="H11" s="58"/>
      <c r="I11" s="58"/>
      <c r="J11" s="1" t="s">
        <v>934</v>
      </c>
      <c r="K11" s="1" t="s">
        <v>129</v>
      </c>
      <c r="L11" s="1">
        <v>474</v>
      </c>
      <c r="M11" s="1">
        <v>142.80439999999999</v>
      </c>
      <c r="N11" s="1">
        <v>53.826500000000003</v>
      </c>
      <c r="O11" s="1">
        <v>26.3944710796507</v>
      </c>
      <c r="P11" s="1">
        <v>1268</v>
      </c>
    </row>
    <row r="12" spans="2:16">
      <c r="B12" s="58"/>
      <c r="C12" s="58"/>
      <c r="D12" s="58"/>
      <c r="E12" s="58"/>
      <c r="F12" s="58"/>
      <c r="G12" s="58"/>
      <c r="H12" s="58"/>
      <c r="I12" s="58"/>
      <c r="J12" s="1" t="s">
        <v>947</v>
      </c>
      <c r="K12" s="1" t="s">
        <v>129</v>
      </c>
      <c r="L12" s="1">
        <v>386</v>
      </c>
      <c r="M12" s="1">
        <v>158.3227</v>
      </c>
      <c r="N12" s="1">
        <v>61.462400000000002</v>
      </c>
      <c r="O12" s="1">
        <v>24.5201509505711</v>
      </c>
      <c r="P12" s="1">
        <v>1224</v>
      </c>
    </row>
    <row r="13" spans="2:16">
      <c r="B13" s="58"/>
      <c r="C13" s="58"/>
      <c r="D13" s="58"/>
      <c r="E13" s="58"/>
      <c r="F13" s="58"/>
      <c r="G13" s="58"/>
      <c r="H13" s="58"/>
      <c r="I13" s="58"/>
    </row>
    <row r="14" spans="2:16" ht="14.5" customHeight="1">
      <c r="B14" s="58"/>
      <c r="C14" s="58"/>
      <c r="D14" s="58"/>
      <c r="E14" s="58"/>
      <c r="F14" s="58"/>
      <c r="G14" s="58"/>
      <c r="H14" s="58"/>
      <c r="I14" s="58"/>
      <c r="J14" s="59" t="s">
        <v>1188</v>
      </c>
      <c r="K14" s="59"/>
      <c r="L14" s="59"/>
      <c r="M14" s="59"/>
      <c r="N14" s="59"/>
      <c r="O14" s="59"/>
    </row>
    <row r="15" spans="2:16">
      <c r="B15" s="58"/>
      <c r="C15" s="58"/>
      <c r="D15" s="58"/>
      <c r="E15" s="58"/>
      <c r="F15" s="58"/>
      <c r="G15" s="58"/>
      <c r="H15" s="58"/>
      <c r="I15" s="58"/>
      <c r="J15" s="59"/>
      <c r="K15" s="59"/>
      <c r="L15" s="59"/>
      <c r="M15" s="59"/>
      <c r="N15" s="59"/>
      <c r="O15" s="59"/>
    </row>
    <row r="16" spans="2:16">
      <c r="B16" s="58"/>
      <c r="C16" s="58"/>
      <c r="D16" s="58"/>
      <c r="E16" s="58"/>
      <c r="F16" s="58"/>
      <c r="G16" s="58"/>
      <c r="H16" s="58"/>
      <c r="I16" s="58"/>
      <c r="J16" s="59"/>
      <c r="K16" s="59"/>
      <c r="L16" s="59"/>
      <c r="M16" s="59"/>
      <c r="N16" s="59"/>
      <c r="O16" s="59"/>
    </row>
    <row r="17" spans="2:15">
      <c r="B17" s="58"/>
      <c r="C17" s="58"/>
      <c r="D17" s="58"/>
      <c r="E17" s="58"/>
      <c r="F17" s="58"/>
      <c r="G17" s="58"/>
      <c r="H17" s="58"/>
      <c r="I17" s="58"/>
      <c r="J17" s="59"/>
      <c r="K17" s="59"/>
      <c r="L17" s="59"/>
      <c r="M17" s="59"/>
      <c r="N17" s="59"/>
      <c r="O17" s="59"/>
    </row>
    <row r="18" spans="2:15">
      <c r="B18" s="58"/>
      <c r="C18" s="58"/>
      <c r="D18" s="58"/>
      <c r="E18" s="58"/>
      <c r="F18" s="58"/>
      <c r="G18" s="58"/>
      <c r="H18" s="58"/>
      <c r="I18" s="58"/>
      <c r="J18" s="59"/>
      <c r="K18" s="59"/>
      <c r="L18" s="59"/>
      <c r="M18" s="59"/>
      <c r="N18" s="59"/>
      <c r="O18" s="59"/>
    </row>
    <row r="19" spans="2:15">
      <c r="B19" s="58"/>
      <c r="C19" s="58"/>
      <c r="D19" s="58"/>
      <c r="E19" s="58"/>
      <c r="F19" s="58"/>
      <c r="G19" s="58"/>
      <c r="H19" s="58"/>
      <c r="I19" s="58"/>
      <c r="J19" s="59"/>
      <c r="K19" s="59"/>
      <c r="L19" s="59"/>
      <c r="M19" s="59"/>
      <c r="N19" s="59"/>
      <c r="O19" s="59"/>
    </row>
    <row r="20" spans="2:15">
      <c r="B20" s="58"/>
      <c r="C20" s="58"/>
      <c r="D20" s="58"/>
      <c r="E20" s="58"/>
      <c r="F20" s="58"/>
      <c r="G20" s="58"/>
      <c r="H20" s="58"/>
      <c r="I20" s="58"/>
      <c r="J20" s="59"/>
      <c r="K20" s="59"/>
      <c r="L20" s="59"/>
      <c r="M20" s="59"/>
      <c r="N20" s="59"/>
      <c r="O20" s="59"/>
    </row>
    <row r="21" spans="2:15">
      <c r="B21" s="58"/>
      <c r="C21" s="58"/>
      <c r="D21" s="58"/>
      <c r="E21" s="58"/>
      <c r="F21" s="58"/>
      <c r="G21" s="58"/>
      <c r="H21" s="58"/>
      <c r="I21" s="58"/>
      <c r="J21" s="59"/>
      <c r="K21" s="59"/>
      <c r="L21" s="59"/>
      <c r="M21" s="59"/>
      <c r="N21" s="59"/>
      <c r="O21" s="59"/>
    </row>
    <row r="22" spans="2:15">
      <c r="B22" s="58"/>
      <c r="C22" s="58"/>
      <c r="D22" s="58"/>
      <c r="E22" s="58"/>
      <c r="F22" s="58"/>
      <c r="G22" s="58"/>
      <c r="H22" s="58"/>
      <c r="I22" s="58"/>
    </row>
    <row r="23" spans="2:15">
      <c r="B23" s="58"/>
      <c r="C23" s="58"/>
      <c r="D23" s="58"/>
      <c r="E23" s="58"/>
      <c r="F23" s="58"/>
      <c r="G23" s="58"/>
      <c r="H23" s="58"/>
      <c r="I23" s="58"/>
    </row>
    <row r="24" spans="2:15">
      <c r="B24" s="58"/>
      <c r="C24" s="58"/>
      <c r="D24" s="58"/>
      <c r="E24" s="58"/>
      <c r="F24" s="58"/>
      <c r="G24" s="58"/>
      <c r="H24" s="58"/>
      <c r="I24" s="58"/>
    </row>
    <row r="25" spans="2:15">
      <c r="B25" s="58"/>
      <c r="C25" s="58"/>
      <c r="D25" s="58"/>
      <c r="E25" s="58"/>
      <c r="F25" s="58"/>
      <c r="G25" s="58"/>
      <c r="H25" s="58"/>
      <c r="I25" s="58"/>
    </row>
    <row r="26" spans="2:15">
      <c r="B26" s="58"/>
      <c r="C26" s="58"/>
      <c r="D26" s="58"/>
      <c r="E26" s="58"/>
      <c r="F26" s="58"/>
      <c r="G26" s="58"/>
      <c r="H26" s="58"/>
      <c r="I26" s="58"/>
    </row>
    <row r="27" spans="2:15">
      <c r="B27" s="58"/>
      <c r="C27" s="58"/>
      <c r="D27" s="58"/>
      <c r="E27" s="58"/>
      <c r="F27" s="58"/>
      <c r="G27" s="58"/>
      <c r="H27" s="58"/>
      <c r="I27" s="58"/>
    </row>
  </sheetData>
  <mergeCells count="3">
    <mergeCell ref="B2:I3"/>
    <mergeCell ref="B5:I27"/>
    <mergeCell ref="J14:O21"/>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6589-E332-4514-B3F2-0B63445F1BAB}">
  <dimension ref="B2:N230"/>
  <sheetViews>
    <sheetView tabSelected="1" topLeftCell="A64" workbookViewId="0">
      <selection activeCell="P11" sqref="P11"/>
    </sheetView>
  </sheetViews>
  <sheetFormatPr defaultRowHeight="14.5"/>
  <cols>
    <col min="11" max="11" width="20.90625" bestFit="1" customWidth="1"/>
    <col min="12" max="12" width="13.453125" customWidth="1"/>
  </cols>
  <sheetData>
    <row r="2" spans="2:14">
      <c r="B2" s="36" t="s">
        <v>1189</v>
      </c>
      <c r="C2" s="36"/>
      <c r="D2" s="36"/>
      <c r="E2" s="36"/>
      <c r="F2" s="36"/>
      <c r="G2" s="36"/>
      <c r="H2" s="36"/>
      <c r="I2" s="36"/>
      <c r="K2" t="s">
        <v>1175</v>
      </c>
      <c r="L2" t="s">
        <v>1191</v>
      </c>
      <c r="N2" t="s">
        <v>1192</v>
      </c>
    </row>
    <row r="3" spans="2:14">
      <c r="B3" s="36"/>
      <c r="C3" s="36"/>
      <c r="D3" s="36"/>
      <c r="E3" s="36"/>
      <c r="F3" s="36"/>
      <c r="G3" s="36"/>
      <c r="H3" s="36"/>
      <c r="I3" s="36"/>
      <c r="K3" s="1" t="s">
        <v>930</v>
      </c>
      <c r="L3" s="1">
        <v>18127</v>
      </c>
      <c r="N3">
        <v>18127</v>
      </c>
    </row>
    <row r="4" spans="2:14">
      <c r="B4" s="12"/>
      <c r="K4" s="1" t="s">
        <v>934</v>
      </c>
      <c r="L4" s="1">
        <v>11536</v>
      </c>
      <c r="N4">
        <v>11536</v>
      </c>
    </row>
    <row r="5" spans="2:14" ht="14.5" customHeight="1">
      <c r="B5" s="30" t="s">
        <v>1190</v>
      </c>
      <c r="C5" s="47"/>
      <c r="D5" s="47"/>
      <c r="E5" s="47"/>
      <c r="F5" s="47"/>
      <c r="G5" s="47"/>
      <c r="H5" s="47"/>
      <c r="I5" s="47"/>
      <c r="K5" s="1" t="s">
        <v>943</v>
      </c>
      <c r="L5" s="1">
        <v>11475</v>
      </c>
      <c r="N5">
        <v>11475</v>
      </c>
    </row>
    <row r="6" spans="2:14">
      <c r="B6" s="47"/>
      <c r="C6" s="47"/>
      <c r="D6" s="47"/>
      <c r="E6" s="47"/>
      <c r="F6" s="47"/>
      <c r="G6" s="47"/>
      <c r="H6" s="47"/>
      <c r="I6" s="47"/>
      <c r="K6" s="1" t="s">
        <v>944</v>
      </c>
      <c r="L6" s="1">
        <v>10496</v>
      </c>
      <c r="N6">
        <v>10496</v>
      </c>
    </row>
    <row r="7" spans="2:14">
      <c r="B7" s="47"/>
      <c r="C7" s="47"/>
      <c r="D7" s="47"/>
      <c r="E7" s="47"/>
      <c r="F7" s="47"/>
      <c r="G7" s="47"/>
      <c r="H7" s="47"/>
      <c r="I7" s="47"/>
      <c r="K7" s="1" t="s">
        <v>945</v>
      </c>
      <c r="L7" s="1">
        <v>10355</v>
      </c>
      <c r="N7">
        <v>10355</v>
      </c>
    </row>
    <row r="8" spans="2:14">
      <c r="B8" s="47"/>
      <c r="C8" s="47"/>
      <c r="D8" s="47"/>
      <c r="E8" s="47"/>
      <c r="F8" s="47"/>
      <c r="G8" s="47"/>
      <c r="H8" s="47"/>
      <c r="I8" s="47"/>
      <c r="K8" s="1" t="s">
        <v>931</v>
      </c>
      <c r="L8" s="1">
        <v>9540</v>
      </c>
      <c r="N8">
        <v>9540</v>
      </c>
    </row>
    <row r="9" spans="2:14">
      <c r="B9" s="47"/>
      <c r="C9" s="47"/>
      <c r="D9" s="47"/>
      <c r="E9" s="47"/>
      <c r="F9" s="47"/>
      <c r="G9" s="47"/>
      <c r="H9" s="47"/>
      <c r="I9" s="47"/>
      <c r="K9" s="1" t="s">
        <v>929</v>
      </c>
      <c r="L9" s="1">
        <v>8335</v>
      </c>
      <c r="N9">
        <v>8335</v>
      </c>
    </row>
    <row r="10" spans="2:14">
      <c r="B10" s="47"/>
      <c r="C10" s="47"/>
      <c r="D10" s="47"/>
      <c r="E10" s="47"/>
      <c r="F10" s="47"/>
      <c r="G10" s="47"/>
      <c r="H10" s="47"/>
      <c r="I10" s="47"/>
      <c r="K10" s="1" t="s">
        <v>946</v>
      </c>
      <c r="L10" s="1">
        <v>8331</v>
      </c>
      <c r="N10">
        <v>8331</v>
      </c>
    </row>
    <row r="11" spans="2:14">
      <c r="B11" s="47"/>
      <c r="C11" s="47"/>
      <c r="D11" s="47"/>
      <c r="E11" s="47"/>
      <c r="F11" s="47"/>
      <c r="G11" s="47"/>
      <c r="H11" s="47"/>
      <c r="I11" s="47"/>
      <c r="K11" s="1" t="s">
        <v>947</v>
      </c>
      <c r="L11" s="1">
        <v>7584</v>
      </c>
      <c r="N11">
        <v>7584</v>
      </c>
    </row>
    <row r="12" spans="2:14">
      <c r="B12" s="47"/>
      <c r="C12" s="47"/>
      <c r="D12" s="47"/>
      <c r="E12" s="47"/>
      <c r="F12" s="47"/>
      <c r="G12" s="47"/>
      <c r="H12" s="47"/>
      <c r="I12" s="47"/>
      <c r="K12" s="1" t="s">
        <v>948</v>
      </c>
      <c r="L12" s="1">
        <v>6514</v>
      </c>
      <c r="N12">
        <v>6514</v>
      </c>
    </row>
    <row r="13" spans="2:14">
      <c r="B13" s="47"/>
      <c r="C13" s="47"/>
      <c r="D13" s="47"/>
      <c r="E13" s="47"/>
      <c r="F13" s="47"/>
      <c r="G13" s="47"/>
      <c r="H13" s="47"/>
      <c r="I13" s="47"/>
      <c r="K13" s="1" t="s">
        <v>949</v>
      </c>
      <c r="L13" s="1">
        <v>6209</v>
      </c>
      <c r="N13">
        <v>6209</v>
      </c>
    </row>
    <row r="14" spans="2:14">
      <c r="B14" s="47"/>
      <c r="C14" s="47"/>
      <c r="D14" s="47"/>
      <c r="E14" s="47"/>
      <c r="F14" s="47"/>
      <c r="G14" s="47"/>
      <c r="H14" s="47"/>
      <c r="I14" s="47"/>
      <c r="K14" s="1" t="s">
        <v>950</v>
      </c>
      <c r="L14" s="1">
        <v>6171</v>
      </c>
      <c r="N14">
        <v>6171</v>
      </c>
    </row>
    <row r="15" spans="2:14">
      <c r="B15" s="47"/>
      <c r="C15" s="47"/>
      <c r="D15" s="47"/>
      <c r="E15" s="47"/>
      <c r="F15" s="47"/>
      <c r="G15" s="47"/>
      <c r="H15" s="47"/>
      <c r="I15" s="47"/>
      <c r="K15" s="1" t="s">
        <v>937</v>
      </c>
      <c r="L15" s="1">
        <v>5880</v>
      </c>
      <c r="N15">
        <v>5880</v>
      </c>
    </row>
    <row r="16" spans="2:14">
      <c r="B16" s="47"/>
      <c r="C16" s="47"/>
      <c r="D16" s="47"/>
      <c r="E16" s="47"/>
      <c r="F16" s="47"/>
      <c r="G16" s="47"/>
      <c r="H16" s="47"/>
      <c r="I16" s="47"/>
      <c r="K16" s="1" t="s">
        <v>936</v>
      </c>
      <c r="L16" s="1">
        <v>5832</v>
      </c>
      <c r="N16">
        <v>5832</v>
      </c>
    </row>
    <row r="17" spans="2:14">
      <c r="B17" s="47"/>
      <c r="C17" s="47"/>
      <c r="D17" s="47"/>
      <c r="E17" s="47"/>
      <c r="F17" s="47"/>
      <c r="G17" s="47"/>
      <c r="H17" s="47"/>
      <c r="I17" s="47"/>
      <c r="K17" s="1" t="s">
        <v>951</v>
      </c>
      <c r="L17" s="1">
        <v>5563</v>
      </c>
      <c r="N17">
        <v>5563</v>
      </c>
    </row>
    <row r="18" spans="2:14">
      <c r="B18" s="47"/>
      <c r="C18" s="47"/>
      <c r="D18" s="47"/>
      <c r="E18" s="47"/>
      <c r="F18" s="47"/>
      <c r="G18" s="47"/>
      <c r="H18" s="47"/>
      <c r="I18" s="47"/>
      <c r="K18" s="1" t="s">
        <v>932</v>
      </c>
      <c r="L18" s="1">
        <v>5473</v>
      </c>
      <c r="N18">
        <v>5473</v>
      </c>
    </row>
    <row r="19" spans="2:14">
      <c r="B19" s="47"/>
      <c r="C19" s="47"/>
      <c r="D19" s="47"/>
      <c r="E19" s="47"/>
      <c r="F19" s="47"/>
      <c r="G19" s="47"/>
      <c r="H19" s="47"/>
      <c r="I19" s="47"/>
      <c r="K19" s="1" t="s">
        <v>952</v>
      </c>
      <c r="L19" s="1">
        <v>5312</v>
      </c>
      <c r="N19">
        <v>5312</v>
      </c>
    </row>
    <row r="20" spans="2:14">
      <c r="K20" s="1" t="s">
        <v>953</v>
      </c>
      <c r="L20" s="1">
        <v>5133</v>
      </c>
      <c r="N20">
        <v>5133</v>
      </c>
    </row>
    <row r="21" spans="2:14">
      <c r="K21" s="1" t="s">
        <v>954</v>
      </c>
      <c r="L21" s="1">
        <v>5016</v>
      </c>
      <c r="N21">
        <v>5016</v>
      </c>
    </row>
    <row r="22" spans="2:14">
      <c r="K22" s="1" t="s">
        <v>955</v>
      </c>
      <c r="L22" s="1">
        <v>4969</v>
      </c>
      <c r="N22">
        <v>4969</v>
      </c>
    </row>
    <row r="23" spans="2:14">
      <c r="K23" s="1" t="s">
        <v>935</v>
      </c>
      <c r="L23" s="1">
        <v>4516</v>
      </c>
      <c r="N23">
        <v>4516</v>
      </c>
    </row>
    <row r="24" spans="2:14">
      <c r="K24" s="1" t="s">
        <v>956</v>
      </c>
      <c r="L24" s="1">
        <v>4418</v>
      </c>
      <c r="N24">
        <v>4418</v>
      </c>
    </row>
    <row r="25" spans="2:14">
      <c r="K25" s="1" t="s">
        <v>957</v>
      </c>
      <c r="L25" s="1">
        <v>4358</v>
      </c>
      <c r="N25">
        <v>4358</v>
      </c>
    </row>
    <row r="26" spans="2:14">
      <c r="K26" s="1" t="s">
        <v>958</v>
      </c>
      <c r="L26" s="1">
        <v>3814</v>
      </c>
      <c r="N26">
        <v>3814</v>
      </c>
    </row>
    <row r="27" spans="2:14">
      <c r="K27" s="1" t="s">
        <v>959</v>
      </c>
      <c r="L27" s="1">
        <v>3797</v>
      </c>
      <c r="N27">
        <v>3797</v>
      </c>
    </row>
    <row r="28" spans="2:14">
      <c r="K28" s="1" t="s">
        <v>960</v>
      </c>
      <c r="L28" s="1">
        <v>3572</v>
      </c>
      <c r="N28">
        <v>3572</v>
      </c>
    </row>
    <row r="29" spans="2:14">
      <c r="K29" s="1" t="s">
        <v>961</v>
      </c>
      <c r="L29" s="1">
        <v>3508</v>
      </c>
      <c r="N29">
        <v>3508</v>
      </c>
    </row>
    <row r="30" spans="2:14">
      <c r="K30" s="1" t="s">
        <v>962</v>
      </c>
      <c r="L30" s="1">
        <v>3256</v>
      </c>
      <c r="N30">
        <v>3256</v>
      </c>
    </row>
    <row r="31" spans="2:14">
      <c r="K31" s="1" t="s">
        <v>963</v>
      </c>
      <c r="L31" s="1">
        <v>3078</v>
      </c>
      <c r="N31">
        <v>3078</v>
      </c>
    </row>
    <row r="32" spans="2:14">
      <c r="K32" s="1" t="s">
        <v>964</v>
      </c>
      <c r="L32" s="1">
        <v>3073</v>
      </c>
      <c r="N32">
        <v>3073</v>
      </c>
    </row>
    <row r="33" spans="11:14">
      <c r="K33" s="1" t="s">
        <v>965</v>
      </c>
      <c r="L33" s="1">
        <v>2705</v>
      </c>
      <c r="N33">
        <v>2705</v>
      </c>
    </row>
    <row r="34" spans="11:14">
      <c r="K34" s="1" t="s">
        <v>966</v>
      </c>
      <c r="L34" s="1">
        <v>2683</v>
      </c>
      <c r="N34">
        <v>2683</v>
      </c>
    </row>
    <row r="35" spans="11:14">
      <c r="K35" s="1" t="s">
        <v>967</v>
      </c>
      <c r="L35" s="1">
        <v>2642</v>
      </c>
      <c r="N35">
        <v>2642</v>
      </c>
    </row>
    <row r="36" spans="11:14">
      <c r="K36" s="1" t="s">
        <v>968</v>
      </c>
      <c r="L36" s="1">
        <v>2491</v>
      </c>
      <c r="N36">
        <v>2491</v>
      </c>
    </row>
    <row r="37" spans="11:14">
      <c r="K37" s="1" t="s">
        <v>969</v>
      </c>
      <c r="L37" s="1">
        <v>2346</v>
      </c>
      <c r="N37">
        <v>2346</v>
      </c>
    </row>
    <row r="38" spans="11:14">
      <c r="K38" s="1" t="s">
        <v>970</v>
      </c>
      <c r="L38" s="1">
        <v>2222</v>
      </c>
      <c r="N38">
        <v>2222</v>
      </c>
    </row>
    <row r="39" spans="11:14">
      <c r="K39" s="1" t="s">
        <v>971</v>
      </c>
      <c r="L39" s="1">
        <v>2076</v>
      </c>
      <c r="N39">
        <v>2076</v>
      </c>
    </row>
    <row r="40" spans="11:14">
      <c r="K40" s="1" t="s">
        <v>972</v>
      </c>
      <c r="L40" s="1">
        <v>1939</v>
      </c>
      <c r="N40">
        <v>1939</v>
      </c>
    </row>
    <row r="41" spans="11:14">
      <c r="K41" s="1" t="s">
        <v>973</v>
      </c>
      <c r="L41" s="1">
        <v>1927</v>
      </c>
      <c r="N41">
        <v>1927</v>
      </c>
    </row>
    <row r="42" spans="11:14">
      <c r="K42" s="1" t="s">
        <v>974</v>
      </c>
      <c r="L42" s="1">
        <v>1645</v>
      </c>
      <c r="N42">
        <v>1645</v>
      </c>
    </row>
    <row r="43" spans="11:14">
      <c r="K43" s="1" t="s">
        <v>975</v>
      </c>
      <c r="L43" s="1">
        <v>1516</v>
      </c>
      <c r="N43">
        <v>1516</v>
      </c>
    </row>
    <row r="44" spans="11:14">
      <c r="K44" s="1" t="s">
        <v>976</v>
      </c>
      <c r="L44" s="1">
        <v>1478</v>
      </c>
      <c r="N44">
        <v>1478</v>
      </c>
    </row>
    <row r="45" spans="11:14">
      <c r="K45" s="1" t="s">
        <v>977</v>
      </c>
      <c r="L45" s="1">
        <v>1445</v>
      </c>
      <c r="N45">
        <v>1445</v>
      </c>
    </row>
    <row r="46" spans="11:14">
      <c r="K46" s="1" t="s">
        <v>933</v>
      </c>
      <c r="L46" s="1">
        <v>1263</v>
      </c>
      <c r="N46">
        <v>1263</v>
      </c>
    </row>
    <row r="47" spans="11:14">
      <c r="K47" s="1" t="s">
        <v>978</v>
      </c>
      <c r="L47" s="1">
        <v>1229</v>
      </c>
      <c r="N47">
        <v>1229</v>
      </c>
    </row>
    <row r="48" spans="11:14">
      <c r="K48" s="1" t="s">
        <v>979</v>
      </c>
      <c r="L48" s="1">
        <v>1210</v>
      </c>
      <c r="N48">
        <v>1210</v>
      </c>
    </row>
    <row r="49" spans="11:14">
      <c r="K49" s="1" t="s">
        <v>980</v>
      </c>
      <c r="L49" s="1">
        <v>1174</v>
      </c>
      <c r="N49">
        <v>1174</v>
      </c>
    </row>
    <row r="50" spans="11:14">
      <c r="K50" s="1" t="s">
        <v>981</v>
      </c>
      <c r="L50" s="1">
        <v>1137</v>
      </c>
      <c r="N50">
        <v>1137</v>
      </c>
    </row>
    <row r="51" spans="11:14">
      <c r="K51" s="1" t="s">
        <v>982</v>
      </c>
      <c r="L51" s="1">
        <v>1082</v>
      </c>
      <c r="N51">
        <v>1082</v>
      </c>
    </row>
    <row r="52" spans="11:14">
      <c r="K52" s="1" t="s">
        <v>983</v>
      </c>
      <c r="L52" s="1">
        <v>1032</v>
      </c>
      <c r="N52">
        <v>1032</v>
      </c>
    </row>
    <row r="53" spans="11:14">
      <c r="K53" s="1" t="s">
        <v>984</v>
      </c>
      <c r="L53" s="1">
        <v>975</v>
      </c>
      <c r="N53">
        <v>975</v>
      </c>
    </row>
    <row r="54" spans="11:14">
      <c r="K54" s="1" t="s">
        <v>985</v>
      </c>
      <c r="L54" s="1">
        <v>942</v>
      </c>
      <c r="N54">
        <v>942</v>
      </c>
    </row>
    <row r="55" spans="11:14">
      <c r="K55" s="1" t="s">
        <v>986</v>
      </c>
      <c r="L55" s="1">
        <v>924</v>
      </c>
      <c r="N55">
        <v>924</v>
      </c>
    </row>
    <row r="56" spans="11:14">
      <c r="K56" s="1" t="s">
        <v>987</v>
      </c>
      <c r="L56" s="1">
        <v>918</v>
      </c>
      <c r="N56">
        <v>918</v>
      </c>
    </row>
    <row r="57" spans="11:14">
      <c r="K57" s="1" t="s">
        <v>988</v>
      </c>
      <c r="L57" s="1">
        <v>917</v>
      </c>
      <c r="N57">
        <v>917</v>
      </c>
    </row>
    <row r="58" spans="11:14">
      <c r="K58" s="1" t="s">
        <v>989</v>
      </c>
      <c r="L58" s="1">
        <v>892</v>
      </c>
      <c r="N58">
        <v>892</v>
      </c>
    </row>
    <row r="59" spans="11:14">
      <c r="K59" s="1" t="s">
        <v>990</v>
      </c>
      <c r="L59" s="1">
        <v>882</v>
      </c>
      <c r="N59">
        <v>882</v>
      </c>
    </row>
    <row r="60" spans="11:14">
      <c r="K60" s="1" t="s">
        <v>991</v>
      </c>
      <c r="L60" s="1">
        <v>863</v>
      </c>
      <c r="N60">
        <v>863</v>
      </c>
    </row>
    <row r="61" spans="11:14">
      <c r="K61" s="1" t="s">
        <v>992</v>
      </c>
      <c r="L61" s="1">
        <v>841</v>
      </c>
      <c r="N61">
        <v>841</v>
      </c>
    </row>
    <row r="62" spans="11:14">
      <c r="K62" s="1" t="s">
        <v>993</v>
      </c>
      <c r="L62" s="1">
        <v>805</v>
      </c>
      <c r="N62">
        <v>805</v>
      </c>
    </row>
    <row r="63" spans="11:14">
      <c r="K63" s="1" t="s">
        <v>994</v>
      </c>
      <c r="L63" s="1">
        <v>739</v>
      </c>
      <c r="N63">
        <v>739</v>
      </c>
    </row>
    <row r="64" spans="11:14">
      <c r="K64" s="1" t="s">
        <v>995</v>
      </c>
      <c r="L64" s="1">
        <v>728</v>
      </c>
      <c r="N64">
        <v>728</v>
      </c>
    </row>
    <row r="65" spans="11:14">
      <c r="K65" s="1" t="s">
        <v>996</v>
      </c>
      <c r="L65" s="1">
        <v>714</v>
      </c>
      <c r="N65">
        <v>714</v>
      </c>
    </row>
    <row r="66" spans="11:14">
      <c r="K66" s="1" t="s">
        <v>997</v>
      </c>
      <c r="L66" s="1">
        <v>683</v>
      </c>
      <c r="N66">
        <v>683</v>
      </c>
    </row>
    <row r="67" spans="11:14">
      <c r="K67" s="1" t="s">
        <v>998</v>
      </c>
      <c r="L67" s="1">
        <v>671</v>
      </c>
      <c r="N67">
        <v>671</v>
      </c>
    </row>
    <row r="68" spans="11:14">
      <c r="K68" s="1" t="s">
        <v>999</v>
      </c>
      <c r="L68" s="1">
        <v>658</v>
      </c>
      <c r="N68">
        <v>658</v>
      </c>
    </row>
    <row r="69" spans="11:14">
      <c r="K69" s="1" t="s">
        <v>1000</v>
      </c>
      <c r="L69" s="1">
        <v>631</v>
      </c>
      <c r="N69">
        <v>631</v>
      </c>
    </row>
    <row r="70" spans="11:14">
      <c r="K70" s="1" t="s">
        <v>1001</v>
      </c>
      <c r="L70" s="1">
        <v>627</v>
      </c>
      <c r="N70">
        <v>627</v>
      </c>
    </row>
    <row r="71" spans="11:14">
      <c r="K71" s="1" t="s">
        <v>1002</v>
      </c>
      <c r="L71" s="1">
        <v>561</v>
      </c>
      <c r="N71">
        <v>561</v>
      </c>
    </row>
    <row r="72" spans="11:14">
      <c r="K72" s="1" t="s">
        <v>1003</v>
      </c>
      <c r="L72" s="1">
        <v>555</v>
      </c>
      <c r="N72">
        <v>555</v>
      </c>
    </row>
    <row r="73" spans="11:14">
      <c r="K73" s="1" t="s">
        <v>1004</v>
      </c>
      <c r="L73" s="1">
        <v>554</v>
      </c>
      <c r="N73">
        <v>554</v>
      </c>
    </row>
    <row r="74" spans="11:14">
      <c r="K74" s="1" t="s">
        <v>1005</v>
      </c>
      <c r="L74" s="1">
        <v>544</v>
      </c>
      <c r="N74">
        <v>544</v>
      </c>
    </row>
    <row r="75" spans="11:14">
      <c r="K75" s="1" t="s">
        <v>1006</v>
      </c>
      <c r="L75" s="1">
        <v>542</v>
      </c>
      <c r="N75">
        <v>542</v>
      </c>
    </row>
    <row r="76" spans="11:14">
      <c r="K76" s="1" t="s">
        <v>1007</v>
      </c>
      <c r="L76" s="1">
        <v>536</v>
      </c>
      <c r="N76">
        <v>536</v>
      </c>
    </row>
    <row r="77" spans="11:14">
      <c r="K77" s="1" t="s">
        <v>1008</v>
      </c>
      <c r="L77" s="1">
        <v>527</v>
      </c>
      <c r="N77">
        <v>527</v>
      </c>
    </row>
    <row r="78" spans="11:14">
      <c r="K78" s="1" t="s">
        <v>1009</v>
      </c>
      <c r="L78" s="1">
        <v>519</v>
      </c>
      <c r="N78">
        <v>519</v>
      </c>
    </row>
    <row r="79" spans="11:14">
      <c r="K79" s="1" t="s">
        <v>1010</v>
      </c>
      <c r="L79" s="1">
        <v>502</v>
      </c>
      <c r="N79">
        <v>502</v>
      </c>
    </row>
    <row r="80" spans="11:14">
      <c r="K80" s="1" t="s">
        <v>1011</v>
      </c>
      <c r="L80" s="1">
        <v>483</v>
      </c>
      <c r="N80">
        <v>483</v>
      </c>
    </row>
    <row r="81" spans="2:14">
      <c r="B81" s="60" t="s">
        <v>1193</v>
      </c>
      <c r="C81" s="60"/>
      <c r="D81" s="60"/>
      <c r="E81" s="60"/>
      <c r="F81" s="60"/>
      <c r="G81" s="60"/>
      <c r="H81" s="60"/>
      <c r="I81" s="60"/>
      <c r="K81" s="1" t="s">
        <v>1012</v>
      </c>
      <c r="L81" s="1">
        <v>459</v>
      </c>
      <c r="N81">
        <v>459</v>
      </c>
    </row>
    <row r="82" spans="2:14">
      <c r="B82" s="60"/>
      <c r="C82" s="60"/>
      <c r="D82" s="60"/>
      <c r="E82" s="60"/>
      <c r="F82" s="60"/>
      <c r="G82" s="60"/>
      <c r="H82" s="60"/>
      <c r="I82" s="60"/>
      <c r="K82" s="1" t="s">
        <v>1013</v>
      </c>
      <c r="L82" s="1">
        <v>424</v>
      </c>
      <c r="N82">
        <v>424</v>
      </c>
    </row>
    <row r="83" spans="2:14">
      <c r="B83" s="60"/>
      <c r="C83" s="60"/>
      <c r="D83" s="60"/>
      <c r="E83" s="60"/>
      <c r="F83" s="60"/>
      <c r="G83" s="60"/>
      <c r="H83" s="60"/>
      <c r="I83" s="60"/>
      <c r="K83" s="1" t="s">
        <v>1014</v>
      </c>
      <c r="L83" s="1">
        <v>402</v>
      </c>
      <c r="N83">
        <v>402</v>
      </c>
    </row>
    <row r="84" spans="2:14">
      <c r="B84" s="60"/>
      <c r="C84" s="60"/>
      <c r="D84" s="60"/>
      <c r="E84" s="60"/>
      <c r="F84" s="60"/>
      <c r="G84" s="60"/>
      <c r="H84" s="60"/>
      <c r="I84" s="60"/>
      <c r="K84" s="1" t="s">
        <v>1015</v>
      </c>
      <c r="L84" s="1">
        <v>378</v>
      </c>
      <c r="N84">
        <v>378</v>
      </c>
    </row>
    <row r="85" spans="2:14">
      <c r="B85" s="60"/>
      <c r="C85" s="60"/>
      <c r="D85" s="60"/>
      <c r="E85" s="60"/>
      <c r="F85" s="60"/>
      <c r="G85" s="60"/>
      <c r="H85" s="60"/>
      <c r="I85" s="60"/>
      <c r="K85" s="1" t="s">
        <v>1016</v>
      </c>
      <c r="L85" s="1">
        <v>377</v>
      </c>
      <c r="N85">
        <v>377</v>
      </c>
    </row>
    <row r="86" spans="2:14">
      <c r="B86" s="60"/>
      <c r="C86" s="60"/>
      <c r="D86" s="60"/>
      <c r="E86" s="60"/>
      <c r="F86" s="60"/>
      <c r="G86" s="60"/>
      <c r="H86" s="60"/>
      <c r="I86" s="60"/>
      <c r="K86" s="1" t="s">
        <v>1017</v>
      </c>
      <c r="L86" s="1">
        <v>376</v>
      </c>
      <c r="N86">
        <v>376</v>
      </c>
    </row>
    <row r="87" spans="2:14">
      <c r="B87" s="60"/>
      <c r="C87" s="60"/>
      <c r="D87" s="60"/>
      <c r="E87" s="60"/>
      <c r="F87" s="60"/>
      <c r="G87" s="60"/>
      <c r="H87" s="60"/>
      <c r="I87" s="60"/>
      <c r="K87" s="1" t="s">
        <v>1018</v>
      </c>
      <c r="L87" s="1">
        <v>368</v>
      </c>
      <c r="N87">
        <v>368</v>
      </c>
    </row>
    <row r="88" spans="2:14">
      <c r="K88" s="1" t="s">
        <v>1019</v>
      </c>
      <c r="L88" s="1">
        <v>360</v>
      </c>
      <c r="N88">
        <v>360</v>
      </c>
    </row>
    <row r="89" spans="2:14" ht="18.5">
      <c r="B89" s="26" t="s">
        <v>1194</v>
      </c>
      <c r="C89" s="61"/>
      <c r="K89" s="1" t="s">
        <v>1020</v>
      </c>
      <c r="L89" s="1">
        <v>354</v>
      </c>
      <c r="N89">
        <v>354</v>
      </c>
    </row>
    <row r="90" spans="2:14">
      <c r="B90" s="9" t="str">
        <f>K3</f>
        <v>USA</v>
      </c>
      <c r="K90" s="1" t="s">
        <v>1021</v>
      </c>
      <c r="L90" s="1">
        <v>342</v>
      </c>
      <c r="N90">
        <v>342</v>
      </c>
    </row>
    <row r="91" spans="2:14">
      <c r="B91" s="9" t="str">
        <f t="shared" ref="B91:B126" si="0">K4</f>
        <v>UK</v>
      </c>
      <c r="K91" s="1" t="s">
        <v>1022</v>
      </c>
      <c r="L91" s="1">
        <v>322</v>
      </c>
      <c r="N91">
        <v>322</v>
      </c>
    </row>
    <row r="92" spans="2:14">
      <c r="B92" s="9" t="str">
        <f t="shared" si="0"/>
        <v>France</v>
      </c>
      <c r="K92" s="1" t="s">
        <v>1023</v>
      </c>
      <c r="L92" s="1">
        <v>311</v>
      </c>
      <c r="N92">
        <v>311</v>
      </c>
    </row>
    <row r="93" spans="2:14">
      <c r="B93" s="9" t="str">
        <f t="shared" si="0"/>
        <v>Germany</v>
      </c>
      <c r="K93" s="1" t="s">
        <v>1024</v>
      </c>
      <c r="L93" s="1">
        <v>310</v>
      </c>
      <c r="N93">
        <v>310</v>
      </c>
    </row>
    <row r="94" spans="2:14">
      <c r="B94" s="9" t="str">
        <f t="shared" si="0"/>
        <v>Italy</v>
      </c>
      <c r="K94" s="1" t="s">
        <v>1025</v>
      </c>
      <c r="L94" s="1">
        <v>307</v>
      </c>
      <c r="N94">
        <v>307</v>
      </c>
    </row>
    <row r="95" spans="2:14">
      <c r="B95" s="9" t="str">
        <f t="shared" si="0"/>
        <v>Canada</v>
      </c>
      <c r="K95" s="1" t="s">
        <v>1026</v>
      </c>
      <c r="L95" s="1">
        <v>290</v>
      </c>
      <c r="N95">
        <v>290</v>
      </c>
    </row>
    <row r="96" spans="2:14">
      <c r="B96" s="9" t="str">
        <f t="shared" si="0"/>
        <v>Sweden</v>
      </c>
      <c r="K96" s="1" t="s">
        <v>1027</v>
      </c>
      <c r="L96" s="1">
        <v>274</v>
      </c>
      <c r="N96">
        <v>274</v>
      </c>
    </row>
    <row r="97" spans="2:14">
      <c r="B97" s="9" t="str">
        <f t="shared" si="0"/>
        <v>Japan</v>
      </c>
      <c r="K97" s="1" t="s">
        <v>1028</v>
      </c>
      <c r="L97" s="1">
        <v>271</v>
      </c>
      <c r="N97">
        <v>271</v>
      </c>
    </row>
    <row r="98" spans="2:14">
      <c r="B98" s="9" t="str">
        <f t="shared" si="0"/>
        <v>Australia</v>
      </c>
      <c r="K98" s="1" t="s">
        <v>1029</v>
      </c>
      <c r="L98" s="1">
        <v>267</v>
      </c>
      <c r="N98">
        <v>267</v>
      </c>
    </row>
    <row r="99" spans="2:14">
      <c r="B99" s="9" t="str">
        <f>K12</f>
        <v>Hungary</v>
      </c>
      <c r="K99" s="1" t="s">
        <v>1030</v>
      </c>
      <c r="L99" s="1">
        <v>264</v>
      </c>
      <c r="N99">
        <v>264</v>
      </c>
    </row>
    <row r="100" spans="2:14">
      <c r="B100" s="9" t="str">
        <f t="shared" si="0"/>
        <v>Poland</v>
      </c>
      <c r="K100" s="1" t="s">
        <v>1031</v>
      </c>
      <c r="L100" s="1">
        <v>263</v>
      </c>
      <c r="N100">
        <v>263</v>
      </c>
    </row>
    <row r="101" spans="2:14">
      <c r="B101" s="9" t="str">
        <f t="shared" si="0"/>
        <v>Soviet Union</v>
      </c>
      <c r="K101" s="1" t="s">
        <v>1032</v>
      </c>
      <c r="L101" s="1">
        <v>263</v>
      </c>
      <c r="N101">
        <v>263</v>
      </c>
    </row>
    <row r="102" spans="2:14">
      <c r="B102" s="9" t="str">
        <f t="shared" si="0"/>
        <v>Netherlands</v>
      </c>
      <c r="K102" s="1" t="s">
        <v>1033</v>
      </c>
      <c r="L102" s="1">
        <v>256</v>
      </c>
      <c r="N102">
        <v>256</v>
      </c>
    </row>
    <row r="103" spans="2:14">
      <c r="B103" s="9" t="str">
        <f t="shared" si="0"/>
        <v>Switzerland</v>
      </c>
      <c r="K103" s="1" t="s">
        <v>1034</v>
      </c>
      <c r="L103" s="1">
        <v>253</v>
      </c>
      <c r="N103">
        <v>253</v>
      </c>
    </row>
    <row r="104" spans="2:14">
      <c r="B104" s="9" t="str">
        <f t="shared" si="0"/>
        <v>Russia</v>
      </c>
      <c r="K104" s="1" t="s">
        <v>1035</v>
      </c>
      <c r="L104" s="1">
        <v>241</v>
      </c>
      <c r="N104">
        <v>241</v>
      </c>
    </row>
    <row r="105" spans="2:14">
      <c r="B105" s="9" t="str">
        <f>K18</f>
        <v>Finland</v>
      </c>
      <c r="K105" s="1" t="s">
        <v>1036</v>
      </c>
      <c r="L105" s="1">
        <v>238</v>
      </c>
      <c r="N105">
        <v>238</v>
      </c>
    </row>
    <row r="106" spans="2:14" ht="29">
      <c r="B106" s="9" t="str">
        <f t="shared" si="0"/>
        <v>Spain</v>
      </c>
      <c r="K106" s="1" t="s">
        <v>1037</v>
      </c>
      <c r="L106" s="1">
        <v>236</v>
      </c>
      <c r="N106">
        <v>236</v>
      </c>
    </row>
    <row r="107" spans="2:14">
      <c r="B107" s="9" t="str">
        <f t="shared" si="0"/>
        <v>China</v>
      </c>
      <c r="K107" s="1" t="s">
        <v>1038</v>
      </c>
      <c r="L107" s="1">
        <v>232</v>
      </c>
      <c r="N107">
        <v>232</v>
      </c>
    </row>
    <row r="108" spans="2:14">
      <c r="B108" s="9" t="str">
        <f t="shared" si="0"/>
        <v>Austria</v>
      </c>
      <c r="K108" s="1" t="s">
        <v>1039</v>
      </c>
      <c r="L108" s="1">
        <v>225</v>
      </c>
      <c r="N108">
        <v>225</v>
      </c>
    </row>
    <row r="109" spans="2:14">
      <c r="B109" s="9" t="str">
        <f t="shared" si="0"/>
        <v>Norway</v>
      </c>
      <c r="K109" s="1" t="s">
        <v>1040</v>
      </c>
      <c r="L109" s="1">
        <v>219</v>
      </c>
      <c r="N109">
        <v>219</v>
      </c>
    </row>
    <row r="110" spans="2:14">
      <c r="B110" s="9" t="str">
        <f>K23</f>
        <v>Czechoslovakia</v>
      </c>
      <c r="K110" s="1" t="s">
        <v>1041</v>
      </c>
      <c r="L110" s="1">
        <v>211</v>
      </c>
      <c r="N110">
        <v>211</v>
      </c>
    </row>
    <row r="111" spans="2:14">
      <c r="B111" s="9" t="str">
        <f t="shared" si="0"/>
        <v>South Korea</v>
      </c>
      <c r="K111" s="1" t="s">
        <v>1042</v>
      </c>
      <c r="L111" s="1">
        <v>210</v>
      </c>
      <c r="N111">
        <v>210</v>
      </c>
    </row>
    <row r="112" spans="2:14">
      <c r="B112" s="9" t="str">
        <f t="shared" si="0"/>
        <v>Romania</v>
      </c>
      <c r="K112" s="1" t="s">
        <v>1043</v>
      </c>
      <c r="L112" s="1">
        <v>204</v>
      </c>
      <c r="N112">
        <v>204</v>
      </c>
    </row>
    <row r="113" spans="2:14">
      <c r="B113" s="9" t="str">
        <f t="shared" si="0"/>
        <v>West Germany</v>
      </c>
      <c r="K113" s="1" t="s">
        <v>1044</v>
      </c>
      <c r="L113" s="1">
        <v>191</v>
      </c>
      <c r="N113">
        <v>191</v>
      </c>
    </row>
    <row r="114" spans="2:14">
      <c r="B114" s="9" t="str">
        <f>K27</f>
        <v>Brazil</v>
      </c>
      <c r="K114" s="1" t="s">
        <v>1045</v>
      </c>
      <c r="L114" s="1">
        <v>183</v>
      </c>
      <c r="N114">
        <v>183</v>
      </c>
    </row>
    <row r="115" spans="2:14">
      <c r="B115" s="9" t="str">
        <f t="shared" si="0"/>
        <v>Denmark</v>
      </c>
      <c r="K115" s="1" t="s">
        <v>1046</v>
      </c>
      <c r="L115" s="1">
        <v>180</v>
      </c>
      <c r="N115">
        <v>180</v>
      </c>
    </row>
    <row r="116" spans="2:14">
      <c r="B116" s="9" t="str">
        <f t="shared" si="0"/>
        <v>Bulgaria</v>
      </c>
      <c r="K116" s="1" t="s">
        <v>1047</v>
      </c>
      <c r="L116" s="1">
        <v>177</v>
      </c>
      <c r="N116">
        <v>177</v>
      </c>
    </row>
    <row r="117" spans="2:14">
      <c r="B117" s="9" t="str">
        <f>K30</f>
        <v>Belgium</v>
      </c>
      <c r="K117" s="1" t="s">
        <v>1048</v>
      </c>
      <c r="L117" s="1">
        <v>171</v>
      </c>
      <c r="N117">
        <v>171</v>
      </c>
    </row>
    <row r="118" spans="2:14">
      <c r="B118" s="9" t="str">
        <f t="shared" si="0"/>
        <v>East Germany</v>
      </c>
      <c r="K118" s="1" t="s">
        <v>1049</v>
      </c>
      <c r="L118" s="1">
        <v>169</v>
      </c>
      <c r="N118">
        <v>169</v>
      </c>
    </row>
    <row r="119" spans="2:14">
      <c r="B119" s="9" t="str">
        <f t="shared" si="0"/>
        <v>Argentina</v>
      </c>
      <c r="K119" s="1" t="s">
        <v>1050</v>
      </c>
      <c r="L119" s="1">
        <v>158</v>
      </c>
      <c r="N119">
        <v>158</v>
      </c>
    </row>
    <row r="120" spans="2:14">
      <c r="B120" s="9" t="str">
        <f t="shared" si="0"/>
        <v>Ukraine</v>
      </c>
      <c r="K120" s="1" t="s">
        <v>1051</v>
      </c>
      <c r="L120" s="1">
        <v>155</v>
      </c>
      <c r="N120">
        <v>155</v>
      </c>
    </row>
    <row r="121" spans="2:14">
      <c r="B121" s="9" t="str">
        <f>K34</f>
        <v>Mexico</v>
      </c>
      <c r="K121" s="1" t="s">
        <v>1052</v>
      </c>
      <c r="L121" s="1">
        <v>155</v>
      </c>
      <c r="N121">
        <v>155</v>
      </c>
    </row>
    <row r="122" spans="2:14">
      <c r="B122" s="9" t="str">
        <f t="shared" si="0"/>
        <v>Yugoslavia</v>
      </c>
      <c r="K122" s="1" t="s">
        <v>1053</v>
      </c>
      <c r="L122" s="1">
        <v>154</v>
      </c>
      <c r="N122">
        <v>154</v>
      </c>
    </row>
    <row r="123" spans="2:14">
      <c r="B123" s="9" t="str">
        <f t="shared" si="0"/>
        <v>Cuba</v>
      </c>
      <c r="K123" s="1" t="s">
        <v>1054</v>
      </c>
      <c r="L123" s="1">
        <v>154</v>
      </c>
      <c r="N123">
        <v>154</v>
      </c>
    </row>
    <row r="124" spans="2:14">
      <c r="B124" s="9" t="str">
        <f t="shared" si="0"/>
        <v>New Zealand</v>
      </c>
      <c r="K124" s="1" t="s">
        <v>1055</v>
      </c>
      <c r="L124" s="1">
        <v>151</v>
      </c>
      <c r="N124">
        <v>151</v>
      </c>
    </row>
    <row r="125" spans="2:14">
      <c r="B125" s="9" t="str">
        <f>K38</f>
        <v>Greece</v>
      </c>
      <c r="K125" s="1" t="s">
        <v>1056</v>
      </c>
      <c r="L125" s="1">
        <v>151</v>
      </c>
      <c r="N125">
        <v>151</v>
      </c>
    </row>
    <row r="126" spans="2:14">
      <c r="K126" s="1" t="s">
        <v>1057</v>
      </c>
      <c r="L126" s="1">
        <v>149</v>
      </c>
      <c r="N126">
        <v>149</v>
      </c>
    </row>
    <row r="127" spans="2:14">
      <c r="K127" s="1" t="s">
        <v>1058</v>
      </c>
      <c r="L127" s="1">
        <v>144</v>
      </c>
      <c r="N127">
        <v>144</v>
      </c>
    </row>
    <row r="128" spans="2:14">
      <c r="K128" s="1" t="s">
        <v>1059</v>
      </c>
      <c r="L128" s="1">
        <v>140</v>
      </c>
      <c r="N128">
        <v>140</v>
      </c>
    </row>
    <row r="129" spans="11:14">
      <c r="K129" s="1" t="s">
        <v>1060</v>
      </c>
      <c r="L129" s="1">
        <v>136</v>
      </c>
      <c r="N129">
        <v>136</v>
      </c>
    </row>
    <row r="130" spans="11:14">
      <c r="K130" s="1" t="s">
        <v>1061</v>
      </c>
      <c r="L130" s="1">
        <v>136</v>
      </c>
      <c r="N130">
        <v>136</v>
      </c>
    </row>
    <row r="131" spans="11:14">
      <c r="K131" s="1" t="s">
        <v>1062</v>
      </c>
      <c r="L131" s="1">
        <v>132</v>
      </c>
      <c r="N131">
        <v>132</v>
      </c>
    </row>
    <row r="132" spans="11:14">
      <c r="K132" s="1" t="s">
        <v>1063</v>
      </c>
      <c r="L132" s="1">
        <v>121</v>
      </c>
      <c r="N132">
        <v>121</v>
      </c>
    </row>
    <row r="133" spans="11:14">
      <c r="K133" s="1" t="s">
        <v>1064</v>
      </c>
      <c r="L133" s="1">
        <v>120</v>
      </c>
      <c r="N133">
        <v>120</v>
      </c>
    </row>
    <row r="134" spans="11:14">
      <c r="K134" s="1" t="s">
        <v>1065</v>
      </c>
      <c r="L134" s="1">
        <v>119</v>
      </c>
      <c r="N134">
        <v>119</v>
      </c>
    </row>
    <row r="135" spans="11:14">
      <c r="K135" s="1" t="s">
        <v>1066</v>
      </c>
      <c r="L135" s="1">
        <v>117</v>
      </c>
      <c r="N135">
        <v>117</v>
      </c>
    </row>
    <row r="136" spans="11:14">
      <c r="K136" s="1" t="s">
        <v>1067</v>
      </c>
      <c r="L136" s="1">
        <v>114</v>
      </c>
      <c r="N136">
        <v>114</v>
      </c>
    </row>
    <row r="137" spans="11:14">
      <c r="K137" s="1" t="s">
        <v>1068</v>
      </c>
      <c r="L137" s="1">
        <v>113</v>
      </c>
      <c r="N137">
        <v>113</v>
      </c>
    </row>
    <row r="138" spans="11:14">
      <c r="K138" s="1" t="s">
        <v>1069</v>
      </c>
      <c r="L138" s="1">
        <v>112</v>
      </c>
      <c r="N138">
        <v>112</v>
      </c>
    </row>
    <row r="139" spans="11:14">
      <c r="K139" s="1" t="s">
        <v>1070</v>
      </c>
      <c r="L139" s="1">
        <v>111</v>
      </c>
      <c r="N139">
        <v>111</v>
      </c>
    </row>
    <row r="140" spans="11:14">
      <c r="K140" s="1" t="s">
        <v>1071</v>
      </c>
      <c r="L140" s="1">
        <v>111</v>
      </c>
      <c r="N140">
        <v>111</v>
      </c>
    </row>
    <row r="141" spans="11:14">
      <c r="K141" s="1" t="s">
        <v>1072</v>
      </c>
      <c r="L141" s="1">
        <v>106</v>
      </c>
      <c r="N141">
        <v>106</v>
      </c>
    </row>
    <row r="142" spans="11:14">
      <c r="K142" s="1" t="s">
        <v>1073</v>
      </c>
      <c r="L142" s="1">
        <v>103</v>
      </c>
      <c r="N142">
        <v>103</v>
      </c>
    </row>
    <row r="143" spans="11:14">
      <c r="K143" s="1" t="s">
        <v>1074</v>
      </c>
      <c r="L143" s="1">
        <v>102</v>
      </c>
      <c r="N143">
        <v>102</v>
      </c>
    </row>
    <row r="144" spans="11:14">
      <c r="K144" s="1" t="s">
        <v>1075</v>
      </c>
      <c r="L144" s="1">
        <v>96</v>
      </c>
      <c r="N144">
        <v>96</v>
      </c>
    </row>
    <row r="145" spans="11:14">
      <c r="K145" s="1" t="s">
        <v>1076</v>
      </c>
      <c r="L145" s="1">
        <v>95</v>
      </c>
      <c r="N145">
        <v>95</v>
      </c>
    </row>
    <row r="146" spans="11:14">
      <c r="K146" s="1" t="s">
        <v>1077</v>
      </c>
      <c r="L146" s="1">
        <v>94</v>
      </c>
      <c r="N146">
        <v>94</v>
      </c>
    </row>
    <row r="147" spans="11:14" ht="29">
      <c r="K147" s="1" t="s">
        <v>1078</v>
      </c>
      <c r="L147" s="1">
        <v>93</v>
      </c>
      <c r="N147">
        <v>93</v>
      </c>
    </row>
    <row r="148" spans="11:14">
      <c r="K148" s="1" t="s">
        <v>1079</v>
      </c>
      <c r="L148" s="1">
        <v>93</v>
      </c>
      <c r="N148">
        <v>93</v>
      </c>
    </row>
    <row r="149" spans="11:14">
      <c r="K149" s="1" t="s">
        <v>1080</v>
      </c>
      <c r="L149" s="1">
        <v>91</v>
      </c>
      <c r="N149">
        <v>91</v>
      </c>
    </row>
    <row r="150" spans="11:14">
      <c r="K150" s="1" t="s">
        <v>1081</v>
      </c>
      <c r="L150" s="1">
        <v>90</v>
      </c>
      <c r="N150">
        <v>90</v>
      </c>
    </row>
    <row r="151" spans="11:14">
      <c r="K151" s="1" t="s">
        <v>1082</v>
      </c>
      <c r="L151" s="1">
        <v>89</v>
      </c>
      <c r="N151">
        <v>89</v>
      </c>
    </row>
    <row r="152" spans="11:14">
      <c r="K152" s="1" t="s">
        <v>1083</v>
      </c>
      <c r="L152" s="1">
        <v>89</v>
      </c>
      <c r="N152">
        <v>89</v>
      </c>
    </row>
    <row r="153" spans="11:14">
      <c r="K153" s="1" t="s">
        <v>1084</v>
      </c>
      <c r="L153" s="1">
        <v>88</v>
      </c>
      <c r="N153">
        <v>88</v>
      </c>
    </row>
    <row r="154" spans="11:14">
      <c r="K154" s="1" t="s">
        <v>1085</v>
      </c>
      <c r="L154" s="1">
        <v>87</v>
      </c>
      <c r="N154">
        <v>87</v>
      </c>
    </row>
    <row r="155" spans="11:14">
      <c r="K155" s="1" t="s">
        <v>1086</v>
      </c>
      <c r="L155" s="1">
        <v>81</v>
      </c>
      <c r="N155">
        <v>81</v>
      </c>
    </row>
    <row r="156" spans="11:14">
      <c r="K156" s="1" t="s">
        <v>1087</v>
      </c>
      <c r="L156" s="1">
        <v>80</v>
      </c>
      <c r="N156">
        <v>80</v>
      </c>
    </row>
    <row r="157" spans="11:14">
      <c r="K157" s="1" t="s">
        <v>1088</v>
      </c>
      <c r="L157" s="1">
        <v>78</v>
      </c>
      <c r="N157">
        <v>78</v>
      </c>
    </row>
    <row r="158" spans="11:14">
      <c r="K158" s="1" t="s">
        <v>1089</v>
      </c>
      <c r="L158" s="1">
        <v>78</v>
      </c>
      <c r="N158">
        <v>78</v>
      </c>
    </row>
    <row r="159" spans="11:14">
      <c r="K159" s="1" t="s">
        <v>1090</v>
      </c>
      <c r="L159" s="1">
        <v>77</v>
      </c>
      <c r="N159">
        <v>77</v>
      </c>
    </row>
    <row r="160" spans="11:14">
      <c r="K160" s="1" t="s">
        <v>1091</v>
      </c>
      <c r="L160" s="1">
        <v>76</v>
      </c>
      <c r="N160">
        <v>76</v>
      </c>
    </row>
    <row r="161" spans="11:14">
      <c r="K161" s="1" t="s">
        <v>1092</v>
      </c>
      <c r="L161" s="1">
        <v>74</v>
      </c>
      <c r="N161">
        <v>74</v>
      </c>
    </row>
    <row r="162" spans="11:14">
      <c r="K162" s="1" t="s">
        <v>1093</v>
      </c>
      <c r="L162" s="1">
        <v>70</v>
      </c>
      <c r="N162">
        <v>70</v>
      </c>
    </row>
    <row r="163" spans="11:14">
      <c r="K163" s="1" t="s">
        <v>1094</v>
      </c>
      <c r="L163" s="1">
        <v>69</v>
      </c>
      <c r="N163">
        <v>69</v>
      </c>
    </row>
    <row r="164" spans="11:14">
      <c r="K164" s="1" t="s">
        <v>1095</v>
      </c>
      <c r="L164" s="1">
        <v>68</v>
      </c>
      <c r="N164">
        <v>68</v>
      </c>
    </row>
    <row r="165" spans="11:14">
      <c r="K165" s="1" t="s">
        <v>1096</v>
      </c>
      <c r="L165" s="1">
        <v>67</v>
      </c>
      <c r="N165">
        <v>67</v>
      </c>
    </row>
    <row r="166" spans="11:14">
      <c r="K166" s="1" t="s">
        <v>1097</v>
      </c>
      <c r="L166" s="1">
        <v>67</v>
      </c>
      <c r="N166">
        <v>67</v>
      </c>
    </row>
    <row r="167" spans="11:14">
      <c r="K167" s="1" t="s">
        <v>1098</v>
      </c>
      <c r="L167" s="1">
        <v>66</v>
      </c>
      <c r="N167">
        <v>66</v>
      </c>
    </row>
    <row r="168" spans="11:14">
      <c r="K168" s="1" t="s">
        <v>1099</v>
      </c>
      <c r="L168" s="1">
        <v>66</v>
      </c>
      <c r="N168">
        <v>66</v>
      </c>
    </row>
    <row r="169" spans="11:14">
      <c r="K169" s="1" t="s">
        <v>1100</v>
      </c>
      <c r="L169" s="1">
        <v>65</v>
      </c>
      <c r="N169">
        <v>65</v>
      </c>
    </row>
    <row r="170" spans="11:14">
      <c r="K170" s="1" t="s">
        <v>1101</v>
      </c>
      <c r="L170" s="1">
        <v>63</v>
      </c>
      <c r="N170">
        <v>63</v>
      </c>
    </row>
    <row r="171" spans="11:14">
      <c r="K171" s="1" t="s">
        <v>1102</v>
      </c>
      <c r="L171" s="1">
        <v>63</v>
      </c>
      <c r="N171">
        <v>63</v>
      </c>
    </row>
    <row r="172" spans="11:14">
      <c r="K172" s="1" t="s">
        <v>1103</v>
      </c>
      <c r="L172" s="1">
        <v>59</v>
      </c>
      <c r="N172">
        <v>59</v>
      </c>
    </row>
    <row r="173" spans="11:14">
      <c r="K173" s="1" t="s">
        <v>1104</v>
      </c>
      <c r="L173" s="1">
        <v>58</v>
      </c>
      <c r="N173">
        <v>58</v>
      </c>
    </row>
    <row r="174" spans="11:14">
      <c r="K174" s="1" t="s">
        <v>1105</v>
      </c>
      <c r="L174" s="1">
        <v>58</v>
      </c>
      <c r="N174">
        <v>58</v>
      </c>
    </row>
    <row r="175" spans="11:14">
      <c r="K175" s="1" t="s">
        <v>1106</v>
      </c>
      <c r="L175" s="1">
        <v>57</v>
      </c>
      <c r="N175">
        <v>57</v>
      </c>
    </row>
    <row r="176" spans="11:14">
      <c r="K176" s="1" t="s">
        <v>1108</v>
      </c>
      <c r="L176" s="1">
        <v>57</v>
      </c>
      <c r="N176">
        <v>57</v>
      </c>
    </row>
    <row r="177" spans="11:14">
      <c r="K177" s="1" t="s">
        <v>1107</v>
      </c>
      <c r="L177" s="1">
        <v>57</v>
      </c>
      <c r="N177">
        <v>57</v>
      </c>
    </row>
    <row r="178" spans="11:14">
      <c r="K178" s="1" t="s">
        <v>1109</v>
      </c>
      <c r="L178" s="1">
        <v>55</v>
      </c>
      <c r="N178">
        <v>55</v>
      </c>
    </row>
    <row r="179" spans="11:14">
      <c r="K179" s="1" t="s">
        <v>1110</v>
      </c>
      <c r="L179" s="1">
        <v>54</v>
      </c>
      <c r="N179">
        <v>54</v>
      </c>
    </row>
    <row r="180" spans="11:14">
      <c r="K180" s="1" t="s">
        <v>1111</v>
      </c>
      <c r="L180" s="1">
        <v>52</v>
      </c>
      <c r="N180">
        <v>52</v>
      </c>
    </row>
    <row r="181" spans="11:14">
      <c r="K181" s="1" t="s">
        <v>1112</v>
      </c>
      <c r="L181" s="1">
        <v>50</v>
      </c>
      <c r="N181">
        <v>50</v>
      </c>
    </row>
    <row r="182" spans="11:14">
      <c r="K182" s="1" t="s">
        <v>1113</v>
      </c>
      <c r="L182" s="1">
        <v>50</v>
      </c>
      <c r="N182">
        <v>50</v>
      </c>
    </row>
    <row r="183" spans="11:14">
      <c r="K183" s="1" t="s">
        <v>1114</v>
      </c>
      <c r="L183" s="1">
        <v>49</v>
      </c>
      <c r="N183">
        <v>49</v>
      </c>
    </row>
    <row r="184" spans="11:14">
      <c r="K184" s="1" t="s">
        <v>1115</v>
      </c>
      <c r="L184" s="1">
        <v>49</v>
      </c>
      <c r="N184">
        <v>49</v>
      </c>
    </row>
    <row r="185" spans="11:14">
      <c r="K185" s="1" t="s">
        <v>1116</v>
      </c>
      <c r="L185" s="1">
        <v>46</v>
      </c>
      <c r="N185">
        <v>46</v>
      </c>
    </row>
    <row r="186" spans="11:14">
      <c r="K186" s="1" t="s">
        <v>1117</v>
      </c>
      <c r="L186" s="1">
        <v>45</v>
      </c>
      <c r="N186">
        <v>45</v>
      </c>
    </row>
    <row r="187" spans="11:14">
      <c r="K187" s="1" t="s">
        <v>1118</v>
      </c>
      <c r="L187" s="1">
        <v>44</v>
      </c>
      <c r="N187">
        <v>44</v>
      </c>
    </row>
    <row r="188" spans="11:14">
      <c r="K188" s="1" t="s">
        <v>1119</v>
      </c>
      <c r="L188" s="1">
        <v>43</v>
      </c>
      <c r="N188">
        <v>43</v>
      </c>
    </row>
    <row r="189" spans="11:14">
      <c r="K189" s="1" t="s">
        <v>1120</v>
      </c>
      <c r="L189" s="1">
        <v>42</v>
      </c>
      <c r="N189">
        <v>42</v>
      </c>
    </row>
    <row r="190" spans="11:14" ht="29">
      <c r="K190" s="1" t="s">
        <v>157</v>
      </c>
      <c r="L190" s="1">
        <v>42</v>
      </c>
      <c r="N190">
        <v>42</v>
      </c>
    </row>
    <row r="191" spans="11:14">
      <c r="K191" s="1" t="s">
        <v>1121</v>
      </c>
      <c r="L191" s="1">
        <v>42</v>
      </c>
      <c r="N191">
        <v>42</v>
      </c>
    </row>
    <row r="192" spans="11:14">
      <c r="K192" s="1" t="s">
        <v>1122</v>
      </c>
      <c r="L192" s="1">
        <v>41</v>
      </c>
      <c r="N192">
        <v>41</v>
      </c>
    </row>
    <row r="193" spans="11:14">
      <c r="K193" s="1" t="s">
        <v>1123</v>
      </c>
      <c r="L193" s="1">
        <v>41</v>
      </c>
      <c r="N193">
        <v>41</v>
      </c>
    </row>
    <row r="194" spans="11:14">
      <c r="K194" s="1" t="s">
        <v>1124</v>
      </c>
      <c r="L194" s="1">
        <v>40</v>
      </c>
      <c r="N194">
        <v>40</v>
      </c>
    </row>
    <row r="195" spans="11:14">
      <c r="K195" s="1" t="s">
        <v>1125</v>
      </c>
      <c r="L195" s="1">
        <v>39</v>
      </c>
      <c r="N195">
        <v>39</v>
      </c>
    </row>
    <row r="196" spans="11:14">
      <c r="K196" s="1" t="s">
        <v>1126</v>
      </c>
      <c r="L196" s="1">
        <v>39</v>
      </c>
      <c r="N196">
        <v>39</v>
      </c>
    </row>
    <row r="197" spans="11:14">
      <c r="K197" s="1" t="s">
        <v>1127</v>
      </c>
      <c r="L197" s="1">
        <v>37</v>
      </c>
      <c r="N197">
        <v>37</v>
      </c>
    </row>
    <row r="198" spans="11:14">
      <c r="K198" s="1" t="s">
        <v>1128</v>
      </c>
      <c r="L198" s="1">
        <v>36</v>
      </c>
      <c r="N198">
        <v>36</v>
      </c>
    </row>
    <row r="199" spans="11:14">
      <c r="K199" s="1" t="s">
        <v>1129</v>
      </c>
      <c r="L199" s="1">
        <v>36</v>
      </c>
      <c r="N199">
        <v>36</v>
      </c>
    </row>
    <row r="200" spans="11:14">
      <c r="K200" s="1" t="s">
        <v>1130</v>
      </c>
      <c r="L200" s="1">
        <v>36</v>
      </c>
      <c r="N200">
        <v>36</v>
      </c>
    </row>
    <row r="201" spans="11:14">
      <c r="K201" s="1" t="s">
        <v>1131</v>
      </c>
      <c r="L201" s="1">
        <v>35</v>
      </c>
      <c r="N201">
        <v>35</v>
      </c>
    </row>
    <row r="202" spans="11:14">
      <c r="K202" s="1" t="s">
        <v>1132</v>
      </c>
      <c r="L202" s="1">
        <v>32</v>
      </c>
      <c r="N202">
        <v>32</v>
      </c>
    </row>
    <row r="203" spans="11:14">
      <c r="K203" s="1" t="s">
        <v>1134</v>
      </c>
      <c r="L203" s="1">
        <v>29</v>
      </c>
      <c r="N203">
        <v>29</v>
      </c>
    </row>
    <row r="204" spans="11:14">
      <c r="K204" s="1" t="s">
        <v>1133</v>
      </c>
      <c r="L204" s="1">
        <v>29</v>
      </c>
      <c r="N204">
        <v>29</v>
      </c>
    </row>
    <row r="205" spans="11:14">
      <c r="K205" s="1" t="s">
        <v>1135</v>
      </c>
      <c r="L205" s="1">
        <v>28</v>
      </c>
      <c r="N205">
        <v>28</v>
      </c>
    </row>
    <row r="206" spans="11:14">
      <c r="K206" s="1" t="s">
        <v>1136</v>
      </c>
      <c r="L206" s="1">
        <v>28</v>
      </c>
      <c r="N206">
        <v>28</v>
      </c>
    </row>
    <row r="207" spans="11:14">
      <c r="K207" s="1" t="s">
        <v>155</v>
      </c>
      <c r="L207" s="1">
        <v>28</v>
      </c>
      <c r="N207">
        <v>28</v>
      </c>
    </row>
    <row r="208" spans="11:14">
      <c r="K208" s="1" t="s">
        <v>1137</v>
      </c>
      <c r="L208" s="1">
        <v>26</v>
      </c>
      <c r="N208">
        <v>26</v>
      </c>
    </row>
    <row r="209" spans="11:14">
      <c r="K209" s="1" t="s">
        <v>1138</v>
      </c>
      <c r="L209" s="1">
        <v>26</v>
      </c>
      <c r="N209">
        <v>26</v>
      </c>
    </row>
    <row r="210" spans="11:14">
      <c r="K210" s="1" t="s">
        <v>1139</v>
      </c>
      <c r="L210" s="1">
        <v>25</v>
      </c>
      <c r="N210">
        <v>25</v>
      </c>
    </row>
    <row r="211" spans="11:14">
      <c r="K211" s="1" t="s">
        <v>1140</v>
      </c>
      <c r="L211" s="1">
        <v>22</v>
      </c>
      <c r="N211">
        <v>22</v>
      </c>
    </row>
    <row r="212" spans="11:14">
      <c r="K212" s="1" t="s">
        <v>1141</v>
      </c>
      <c r="L212" s="1">
        <v>21</v>
      </c>
      <c r="N212">
        <v>21</v>
      </c>
    </row>
    <row r="213" spans="11:14">
      <c r="K213" s="1" t="s">
        <v>1142</v>
      </c>
      <c r="L213" s="1">
        <v>19</v>
      </c>
      <c r="N213">
        <v>19</v>
      </c>
    </row>
    <row r="214" spans="11:14">
      <c r="K214" s="1" t="s">
        <v>1143</v>
      </c>
      <c r="L214" s="1">
        <v>19</v>
      </c>
      <c r="N214">
        <v>19</v>
      </c>
    </row>
    <row r="215" spans="11:14">
      <c r="K215" s="1" t="s">
        <v>1144</v>
      </c>
      <c r="L215" s="1">
        <v>18</v>
      </c>
      <c r="N215">
        <v>18</v>
      </c>
    </row>
    <row r="216" spans="11:14">
      <c r="K216" s="1" t="s">
        <v>1145</v>
      </c>
      <c r="L216" s="1">
        <v>17</v>
      </c>
      <c r="N216">
        <v>17</v>
      </c>
    </row>
    <row r="217" spans="11:14">
      <c r="K217" s="1" t="s">
        <v>1146</v>
      </c>
      <c r="L217" s="1">
        <v>14</v>
      </c>
      <c r="N217">
        <v>14</v>
      </c>
    </row>
    <row r="218" spans="11:14">
      <c r="K218" s="1" t="s">
        <v>1147</v>
      </c>
      <c r="L218" s="1">
        <v>14</v>
      </c>
      <c r="N218">
        <v>14</v>
      </c>
    </row>
    <row r="219" spans="11:14">
      <c r="K219" s="1" t="s">
        <v>1148</v>
      </c>
      <c r="L219" s="1">
        <v>13</v>
      </c>
      <c r="N219">
        <v>13</v>
      </c>
    </row>
    <row r="220" spans="11:14">
      <c r="K220" s="1" t="s">
        <v>1149</v>
      </c>
      <c r="L220" s="1">
        <v>12</v>
      </c>
      <c r="N220">
        <v>12</v>
      </c>
    </row>
    <row r="221" spans="11:14">
      <c r="K221" s="1" t="s">
        <v>1150</v>
      </c>
      <c r="L221" s="1">
        <v>11</v>
      </c>
      <c r="N221">
        <v>11</v>
      </c>
    </row>
    <row r="222" spans="11:14">
      <c r="K222" s="1" t="s">
        <v>1151</v>
      </c>
      <c r="L222" s="1">
        <v>11</v>
      </c>
      <c r="N222">
        <v>11</v>
      </c>
    </row>
    <row r="223" spans="11:14">
      <c r="K223" s="1" t="s">
        <v>1152</v>
      </c>
      <c r="L223" s="1">
        <v>10</v>
      </c>
      <c r="N223">
        <v>10</v>
      </c>
    </row>
    <row r="224" spans="11:14">
      <c r="K224" s="1" t="s">
        <v>1153</v>
      </c>
      <c r="L224" s="1">
        <v>10</v>
      </c>
      <c r="N224">
        <v>10</v>
      </c>
    </row>
    <row r="225" spans="11:14">
      <c r="K225" s="1" t="s">
        <v>1154</v>
      </c>
      <c r="L225" s="1">
        <v>9</v>
      </c>
      <c r="N225">
        <v>9</v>
      </c>
    </row>
    <row r="226" spans="11:14">
      <c r="K226" s="1" t="s">
        <v>1155</v>
      </c>
      <c r="L226" s="1">
        <v>7</v>
      </c>
      <c r="N226">
        <v>7</v>
      </c>
    </row>
    <row r="227" spans="11:14">
      <c r="K227" s="1" t="s">
        <v>1156</v>
      </c>
      <c r="L227" s="1">
        <v>5</v>
      </c>
      <c r="N227">
        <v>5</v>
      </c>
    </row>
    <row r="228" spans="11:14">
      <c r="K228" s="1" t="s">
        <v>156</v>
      </c>
      <c r="L228" s="1">
        <v>4</v>
      </c>
      <c r="N228">
        <v>4</v>
      </c>
    </row>
    <row r="229" spans="11:14">
      <c r="K229" s="1" t="s">
        <v>154</v>
      </c>
      <c r="L229" s="1">
        <v>2</v>
      </c>
      <c r="N229">
        <v>2</v>
      </c>
    </row>
    <row r="230" spans="11:14">
      <c r="K230" s="1" t="s">
        <v>153</v>
      </c>
      <c r="L230" s="1">
        <v>2</v>
      </c>
      <c r="N230">
        <v>2</v>
      </c>
    </row>
  </sheetData>
  <mergeCells count="3">
    <mergeCell ref="B2:I3"/>
    <mergeCell ref="B5:I19"/>
    <mergeCell ref="B81:I87"/>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EDA_1</vt:lpstr>
      <vt:lpstr>EDA_2</vt:lpstr>
      <vt:lpstr>EDA_3</vt:lpstr>
      <vt:lpstr>EDA_4</vt:lpstr>
      <vt:lpstr>EDA_5</vt:lpstr>
      <vt:lpstr>EDA_6</vt:lpstr>
      <vt:lpstr>EDA_7</vt:lpstr>
      <vt:lpstr>EDA_8</vt:lpstr>
      <vt:lpstr>EDA_9</vt:lpstr>
      <vt:lpstr>EDA_10</vt:lpstr>
      <vt:lpstr>EDA_11</vt:lpstr>
      <vt:lpstr>EDA_12</vt:lpstr>
      <vt:lpstr>EDA_13</vt:lpstr>
      <vt:lpstr>EDA_14</vt:lpstr>
      <vt:lpstr>EDA_15</vt:lpstr>
      <vt:lpstr>EDA_16</vt:lpstr>
      <vt:lpstr>EDA_17</vt:lpstr>
      <vt:lpstr>EDA_18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Smruti ranjan Pradhan</dc:creator>
  <cp:lastModifiedBy>Smruti ranjan Pradhan</cp:lastModifiedBy>
  <dcterms:created xsi:type="dcterms:W3CDTF">2026-04-24T05:24:31Z</dcterms:created>
  <dcterms:modified xsi:type="dcterms:W3CDTF">2026-05-04T19:19:49Z</dcterms:modified>
</cp:coreProperties>
</file>